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75" windowWidth="21840" windowHeight="11835"/>
  </bookViews>
  <sheets>
    <sheet name="商品評價" sheetId="4" r:id="rId1"/>
    <sheet name="商品價格" sheetId="1" r:id="rId2"/>
    <sheet name="波動率參數" sheetId="2" r:id="rId3"/>
    <sheet name="相關係數參數" sheetId="3" r:id="rId4"/>
    <sheet name="2018trading" sheetId="5" r:id="rId5"/>
  </sheets>
  <functionGroups builtInGroupCount="17"/>
  <calcPr calcId="145621"/>
</workbook>
</file>

<file path=xl/calcChain.xml><?xml version="1.0" encoding="utf-8"?>
<calcChain xmlns="http://schemas.openxmlformats.org/spreadsheetml/2006/main">
  <c r="S2" i="4" l="1"/>
  <c r="C36" i="4" l="1"/>
  <c r="C33" i="4"/>
  <c r="C34" i="4"/>
  <c r="E10" i="4" l="1"/>
  <c r="C15" i="4" l="1"/>
  <c r="I27" i="4" l="1"/>
  <c r="H27" i="4"/>
  <c r="G27" i="4"/>
  <c r="K27" i="4" l="1"/>
  <c r="D2" i="4" l="1"/>
  <c r="C16" i="4" l="1"/>
</calcChain>
</file>

<file path=xl/comments1.xml><?xml version="1.0" encoding="utf-8"?>
<comments xmlns="http://schemas.openxmlformats.org/spreadsheetml/2006/main">
  <authors>
    <author>user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 xml:space="preserve">0 </t>
        </r>
        <r>
          <rPr>
            <b/>
            <sz val="9"/>
            <color indexed="81"/>
            <rFont val="細明體"/>
            <family val="3"/>
            <charset val="136"/>
          </rPr>
          <t>預結</t>
        </r>
        <r>
          <rPr>
            <b/>
            <sz val="9"/>
            <color indexed="81"/>
            <rFont val="Tahoma"/>
            <family val="2"/>
          </rPr>
          <t xml:space="preserve">
1 </t>
        </r>
        <r>
          <rPr>
            <b/>
            <sz val="9"/>
            <color indexed="81"/>
            <rFont val="細明體"/>
            <family val="3"/>
            <charset val="136"/>
          </rPr>
          <t>正式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 xml:space="preserve">0 </t>
        </r>
        <r>
          <rPr>
            <b/>
            <sz val="9"/>
            <color indexed="81"/>
            <rFont val="細明體"/>
            <family val="3"/>
            <charset val="136"/>
          </rPr>
          <t>預結</t>
        </r>
        <r>
          <rPr>
            <b/>
            <sz val="9"/>
            <color indexed="81"/>
            <rFont val="Tahoma"/>
            <family val="2"/>
          </rPr>
          <t xml:space="preserve">
1 </t>
        </r>
        <r>
          <rPr>
            <b/>
            <sz val="9"/>
            <color indexed="81"/>
            <rFont val="細明體"/>
            <family val="3"/>
            <charset val="136"/>
          </rPr>
          <t>正式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 xml:space="preserve">0 </t>
        </r>
        <r>
          <rPr>
            <b/>
            <sz val="9"/>
            <color indexed="81"/>
            <rFont val="細明體"/>
            <family val="3"/>
            <charset val="136"/>
          </rPr>
          <t>預結</t>
        </r>
        <r>
          <rPr>
            <b/>
            <sz val="9"/>
            <color indexed="81"/>
            <rFont val="Tahoma"/>
            <family val="2"/>
          </rPr>
          <t xml:space="preserve">
1 </t>
        </r>
        <r>
          <rPr>
            <b/>
            <sz val="9"/>
            <color indexed="81"/>
            <rFont val="細明體"/>
            <family val="3"/>
            <charset val="136"/>
          </rPr>
          <t>正式</t>
        </r>
      </text>
    </comment>
  </commentList>
</comments>
</file>

<file path=xl/sharedStrings.xml><?xml version="1.0" encoding="utf-8"?>
<sst xmlns="http://schemas.openxmlformats.org/spreadsheetml/2006/main" count="135" uniqueCount="108">
  <si>
    <t>股票代號</t>
  </si>
  <si>
    <t>股價</t>
  </si>
  <si>
    <t>st_4</t>
  </si>
  <si>
    <t>st_5</t>
  </si>
  <si>
    <t>st_7</t>
  </si>
  <si>
    <t>st_8</t>
  </si>
  <si>
    <t>st_9</t>
  </si>
  <si>
    <t>st_10</t>
  </si>
  <si>
    <t>評價日</t>
    <phoneticPr fontId="1" type="noConversion"/>
  </si>
  <si>
    <t>Iutput</t>
    <phoneticPr fontId="2" type="noConversion"/>
  </si>
  <si>
    <t>y</t>
    <phoneticPr fontId="2" type="noConversion"/>
  </si>
  <si>
    <t>r</t>
    <phoneticPr fontId="2" type="noConversion"/>
  </si>
  <si>
    <t>bonusCouponRate</t>
    <phoneticPr fontId="1" type="noConversion"/>
  </si>
  <si>
    <t>spot</t>
    <phoneticPr fontId="2" type="noConversion"/>
  </si>
  <si>
    <t>K%</t>
    <phoneticPr fontId="1" type="noConversion"/>
  </si>
  <si>
    <t>H%</t>
    <phoneticPr fontId="2" type="noConversion"/>
  </si>
  <si>
    <t>H_barrier</t>
    <phoneticPr fontId="2" type="noConversion"/>
  </si>
  <si>
    <t>vol</t>
  </si>
  <si>
    <t>Y/N</t>
    <phoneticPr fontId="2" type="noConversion"/>
  </si>
  <si>
    <t>Output</t>
    <phoneticPr fontId="2" type="noConversion"/>
  </si>
  <si>
    <t>Time(sec.)</t>
    <phoneticPr fontId="2" type="noConversion"/>
  </si>
  <si>
    <t>Option$</t>
    <phoneticPr fontId="2" type="noConversion"/>
  </si>
  <si>
    <t>Delta</t>
  </si>
  <si>
    <t>Gamma</t>
  </si>
  <si>
    <t>Vega</t>
  </si>
  <si>
    <t>P</t>
    <phoneticPr fontId="2" type="noConversion"/>
  </si>
  <si>
    <t>D</t>
    <phoneticPr fontId="2" type="noConversion"/>
  </si>
  <si>
    <t>CD</t>
    <phoneticPr fontId="2" type="noConversion"/>
  </si>
  <si>
    <t>TradingDate</t>
    <phoneticPr fontId="2" type="noConversion"/>
  </si>
  <si>
    <t>st_6</t>
  </si>
  <si>
    <t>st_6</t>
    <phoneticPr fontId="1" type="noConversion"/>
  </si>
  <si>
    <t>strike</t>
    <phoneticPr fontId="1" type="noConversion"/>
  </si>
  <si>
    <t>Option%</t>
    <phoneticPr fontId="2" type="noConversion"/>
  </si>
  <si>
    <t>Bond%</t>
    <phoneticPr fontId="2" type="noConversion"/>
  </si>
  <si>
    <t>Note%</t>
    <phoneticPr fontId="2" type="noConversion"/>
  </si>
  <si>
    <t>到期日</t>
    <phoneticPr fontId="1" type="noConversion"/>
  </si>
  <si>
    <t>建檔人員</t>
    <phoneticPr fontId="2" type="noConversion"/>
  </si>
  <si>
    <t>建檔時間</t>
    <phoneticPr fontId="2" type="noConversion"/>
  </si>
  <si>
    <t>更新人員</t>
    <phoneticPr fontId="2" type="noConversion"/>
  </si>
  <si>
    <t>更新時間</t>
    <phoneticPr fontId="2" type="noConversion"/>
  </si>
  <si>
    <t>資料存取碼</t>
    <phoneticPr fontId="2" type="noConversion"/>
  </si>
  <si>
    <t>評價日</t>
    <phoneticPr fontId="2" type="noConversion"/>
  </si>
  <si>
    <t>結帳別</t>
    <phoneticPr fontId="2" type="noConversion"/>
  </si>
  <si>
    <t>評價別</t>
    <phoneticPr fontId="2" type="noConversion"/>
  </si>
  <si>
    <t>INSID</t>
    <phoneticPr fontId="2" type="noConversion"/>
  </si>
  <si>
    <t>INSTYP</t>
    <phoneticPr fontId="2" type="noConversion"/>
  </si>
  <si>
    <t>ISIN Code</t>
    <phoneticPr fontId="2" type="noConversion"/>
  </si>
  <si>
    <t>剩餘天期</t>
    <phoneticPr fontId="2" type="noConversion"/>
  </si>
  <si>
    <t>選擇權價格($)</t>
    <phoneticPr fontId="2" type="noConversion"/>
  </si>
  <si>
    <t>選擇權價格(%)</t>
    <phoneticPr fontId="2" type="noConversion"/>
  </si>
  <si>
    <t>債券價格(%)</t>
    <phoneticPr fontId="2" type="noConversion"/>
  </si>
  <si>
    <t>交易價格(%)</t>
    <phoneticPr fontId="2" type="noConversion"/>
  </si>
  <si>
    <t>建檔人員</t>
    <phoneticPr fontId="2" type="noConversion"/>
  </si>
  <si>
    <t>建檔時間</t>
    <phoneticPr fontId="2" type="noConversion"/>
  </si>
  <si>
    <t>更新人員</t>
    <phoneticPr fontId="2" type="noConversion"/>
  </si>
  <si>
    <t>更新時間</t>
    <phoneticPr fontId="2" type="noConversion"/>
  </si>
  <si>
    <t>資料存取碼</t>
    <phoneticPr fontId="2" type="noConversion"/>
  </si>
  <si>
    <t>評價日</t>
    <phoneticPr fontId="2" type="noConversion"/>
  </si>
  <si>
    <t>結帳別</t>
    <phoneticPr fontId="2" type="noConversion"/>
  </si>
  <si>
    <t>評價別</t>
  </si>
  <si>
    <t>INSID</t>
    <phoneticPr fontId="2" type="noConversion"/>
  </si>
  <si>
    <t>INSTYP</t>
    <phoneticPr fontId="2" type="noConversion"/>
  </si>
  <si>
    <t>ISIN Code</t>
    <phoneticPr fontId="2" type="noConversion"/>
  </si>
  <si>
    <t>波動率</t>
    <phoneticPr fontId="2" type="noConversion"/>
  </si>
  <si>
    <t>無風險利率</t>
  </si>
  <si>
    <t>Delta</t>
    <phoneticPr fontId="2" type="noConversion"/>
  </si>
  <si>
    <t>Gamma</t>
    <phoneticPr fontId="2" type="noConversion"/>
  </si>
  <si>
    <t>Vega</t>
    <phoneticPr fontId="2" type="noConversion"/>
  </si>
  <si>
    <t>建檔人員</t>
    <phoneticPr fontId="2" type="noConversion"/>
  </si>
  <si>
    <t>建檔時間</t>
    <phoneticPr fontId="2" type="noConversion"/>
  </si>
  <si>
    <t>更新人員</t>
    <phoneticPr fontId="2" type="noConversion"/>
  </si>
  <si>
    <t>更新時間</t>
    <phoneticPr fontId="2" type="noConversion"/>
  </si>
  <si>
    <t>評價日</t>
    <phoneticPr fontId="2" type="noConversion"/>
  </si>
  <si>
    <t>結帳別</t>
    <phoneticPr fontId="2" type="noConversion"/>
  </si>
  <si>
    <r>
      <t>商品代號</t>
    </r>
    <r>
      <rPr>
        <sz val="9"/>
        <rFont val="Times New Roman"/>
        <family val="1"/>
      </rPr>
      <t>(serial_no)</t>
    </r>
    <phoneticPr fontId="2" type="noConversion"/>
  </si>
  <si>
    <t>商品別</t>
    <phoneticPr fontId="2" type="noConversion"/>
  </si>
  <si>
    <t>ISIN Code</t>
    <phoneticPr fontId="2" type="noConversion"/>
  </si>
  <si>
    <t>標的ID</t>
    <phoneticPr fontId="2" type="noConversion"/>
  </si>
  <si>
    <t>標的相關性</t>
    <phoneticPr fontId="2" type="noConversion"/>
  </si>
  <si>
    <t>20170821</t>
  </si>
  <si>
    <t>20170828</t>
  </si>
  <si>
    <t>20170829</t>
  </si>
  <si>
    <t>20170830</t>
  </si>
  <si>
    <t>20170831</t>
  </si>
  <si>
    <t>CORREL</t>
    <phoneticPr fontId="2" type="noConversion"/>
  </si>
  <si>
    <t>紅利配息率</t>
    <phoneticPr fontId="1" type="noConversion"/>
  </si>
  <si>
    <t>spot2</t>
    <phoneticPr fontId="2" type="noConversion"/>
  </si>
  <si>
    <t>isKO</t>
    <phoneticPr fontId="1" type="noConversion"/>
  </si>
  <si>
    <t>年化報酬</t>
    <phoneticPr fontId="1" type="noConversion"/>
  </si>
  <si>
    <t>月數</t>
    <phoneticPr fontId="1" type="noConversion"/>
  </si>
  <si>
    <t>提解報價</t>
    <phoneticPr fontId="2" type="noConversion"/>
  </si>
  <si>
    <t>按"VOL_CORR"</t>
    <phoneticPr fontId="2" type="noConversion"/>
  </si>
  <si>
    <t>維護股價</t>
    <phoneticPr fontId="2" type="noConversion"/>
  </si>
  <si>
    <t>按"評價"</t>
    <phoneticPr fontId="2" type="noConversion"/>
  </si>
  <si>
    <t>按"貼價格"</t>
    <phoneticPr fontId="2" type="noConversion"/>
  </si>
  <si>
    <t>另一個商品重覆相同流程</t>
    <phoneticPr fontId="2" type="noConversion"/>
  </si>
  <si>
    <t>MTM</t>
    <phoneticPr fontId="2" type="noConversion"/>
  </si>
  <si>
    <t>Turbo_Accelerated_Tracker</t>
    <phoneticPr fontId="1" type="noConversion"/>
  </si>
  <si>
    <t>388.HK</t>
  </si>
  <si>
    <t>388.HK</t>
    <phoneticPr fontId="2" type="noConversion"/>
  </si>
  <si>
    <t>st_2</t>
  </si>
  <si>
    <t>st_3</t>
  </si>
  <si>
    <t>no_observation</t>
    <phoneticPr fontId="1" type="noConversion"/>
  </si>
  <si>
    <t>ParticipationRate</t>
    <phoneticPr fontId="2" type="noConversion"/>
  </si>
  <si>
    <t>觀察期數</t>
    <phoneticPr fontId="1" type="noConversion"/>
  </si>
  <si>
    <t>T</t>
    <phoneticPr fontId="2" type="noConversion"/>
  </si>
  <si>
    <t>參與率</t>
    <phoneticPr fontId="2" type="noConversion"/>
  </si>
  <si>
    <t>type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</si>
</sst>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0%"/>
    <numFmt numFmtId="177" formatCode="0.000000_ "/>
    <numFmt numFmtId="178" formatCode="m&quot;月&quot;d&quot;日&quot;"/>
    <numFmt numFmtId="179" formatCode="0.0000_ "/>
    <numFmt numFmtId="180" formatCode="0.0000000000000000%"/>
    <numFmt numFmtId="181" formatCode="0.0%"/>
    <numFmt numFmtId="182" formatCode="0.0000000_ "/>
    <numFmt numFmtId="183" formatCode="0.000"/>
    <numFmt numFmtId="184" formatCode="0.000%"/>
  </numFmts>
  <fonts count="1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0"/>
      <name val="新細明體"/>
      <family val="1"/>
      <charset val="136"/>
    </font>
    <font>
      <sz val="12"/>
      <color theme="0" tint="-0.14999847407452621"/>
      <name val="新細明體"/>
      <family val="1"/>
      <charset val="136"/>
    </font>
    <font>
      <sz val="12"/>
      <color rgb="FF000000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b/>
      <sz val="9"/>
      <color indexed="81"/>
      <name val="Tahoma"/>
      <family val="2"/>
    </font>
    <font>
      <sz val="12"/>
      <color theme="0" tint="-0.499984740745262"/>
      <name val="新細明體"/>
      <family val="2"/>
      <charset val="136"/>
      <scheme val="minor"/>
    </font>
    <font>
      <sz val="12"/>
      <color theme="0" tint="-0.499984740745262"/>
      <name val="新細明體"/>
      <family val="1"/>
      <charset val="136"/>
      <scheme val="minor"/>
    </font>
    <font>
      <sz val="9"/>
      <name val="細明體"/>
      <family val="3"/>
      <charset val="136"/>
    </font>
    <font>
      <b/>
      <sz val="9"/>
      <color indexed="81"/>
      <name val="細明體"/>
      <family val="3"/>
      <charset val="136"/>
    </font>
    <font>
      <sz val="10"/>
      <color theme="1"/>
      <name val="新細明體"/>
      <family val="1"/>
      <charset val="136"/>
      <scheme val="minor"/>
    </font>
    <font>
      <sz val="9"/>
      <name val="Arial"/>
      <family val="2"/>
    </font>
    <font>
      <sz val="9"/>
      <name val="Times New Roman"/>
      <family val="1"/>
    </font>
    <font>
      <sz val="12"/>
      <name val="新細明體"/>
      <family val="1"/>
      <charset val="136"/>
    </font>
    <font>
      <sz val="12"/>
      <color rgb="FFFF0000"/>
      <name val="新細明體"/>
      <family val="1"/>
      <charset val="136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49" fontId="3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right" vertical="center"/>
    </xf>
    <xf numFmtId="0" fontId="4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0" xfId="0" applyFill="1">
      <alignment vertical="center"/>
    </xf>
    <xf numFmtId="0" fontId="0" fillId="0" borderId="0" xfId="0" applyFill="1" applyAlignment="1">
      <alignment horizontal="right" vertical="center"/>
    </xf>
    <xf numFmtId="0" fontId="3" fillId="0" borderId="0" xfId="0" applyNumberFormat="1" applyFont="1" applyAlignment="1">
      <alignment horizontal="left" vertical="center"/>
    </xf>
    <xf numFmtId="0" fontId="0" fillId="3" borderId="0" xfId="0" applyFill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2" fontId="0" fillId="0" borderId="0" xfId="0" applyNumberFormat="1">
      <alignment vertical="center"/>
    </xf>
    <xf numFmtId="176" fontId="0" fillId="0" borderId="0" xfId="1" applyNumberFormat="1" applyFont="1">
      <alignment vertical="center"/>
    </xf>
    <xf numFmtId="176" fontId="0" fillId="0" borderId="0" xfId="0" applyNumberFormat="1">
      <alignment vertical="center"/>
    </xf>
    <xf numFmtId="0" fontId="0" fillId="4" borderId="0" xfId="0" applyFill="1" applyAlignment="1">
      <alignment horizontal="right" vertical="center"/>
    </xf>
    <xf numFmtId="0" fontId="0" fillId="5" borderId="0" xfId="0" applyFill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10" fontId="0" fillId="0" borderId="0" xfId="1" applyNumberFormat="1" applyFont="1">
      <alignment vertical="center"/>
    </xf>
    <xf numFmtId="14" fontId="0" fillId="2" borderId="0" xfId="0" applyNumberFormat="1" applyFill="1">
      <alignment vertical="center"/>
    </xf>
    <xf numFmtId="0" fontId="10" fillId="6" borderId="1" xfId="0" applyFont="1" applyFill="1" applyBorder="1" applyAlignment="1">
      <alignment horizontal="center" vertical="center"/>
    </xf>
    <xf numFmtId="0" fontId="12" fillId="0" borderId="0" xfId="0" applyFont="1">
      <alignment vertical="center"/>
    </xf>
    <xf numFmtId="49" fontId="10" fillId="6" borderId="1" xfId="0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22" fontId="12" fillId="0" borderId="0" xfId="0" applyNumberFormat="1" applyFont="1">
      <alignment vertical="center"/>
    </xf>
    <xf numFmtId="177" fontId="0" fillId="0" borderId="0" xfId="1" applyNumberFormat="1" applyFont="1">
      <alignment vertical="center"/>
    </xf>
    <xf numFmtId="0" fontId="0" fillId="0" borderId="0" xfId="0" applyFill="1">
      <alignment vertical="center"/>
    </xf>
    <xf numFmtId="177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77" fontId="10" fillId="6" borderId="1" xfId="0" applyNumberFormat="1" applyFont="1" applyFill="1" applyBorder="1" applyAlignment="1">
      <alignment horizontal="center" vertical="center"/>
    </xf>
    <xf numFmtId="177" fontId="13" fillId="6" borderId="1" xfId="0" applyNumberFormat="1" applyFont="1" applyFill="1" applyBorder="1" applyAlignment="1">
      <alignment horizontal="center" vertical="center"/>
    </xf>
    <xf numFmtId="176" fontId="12" fillId="0" borderId="0" xfId="1" applyNumberFormat="1" applyFont="1">
      <alignment vertical="center"/>
    </xf>
    <xf numFmtId="178" fontId="0" fillId="0" borderId="0" xfId="0" applyNumberFormat="1">
      <alignment vertical="center"/>
    </xf>
    <xf numFmtId="179" fontId="0" fillId="0" borderId="0" xfId="1" applyNumberFormat="1" applyFont="1">
      <alignment vertical="center"/>
    </xf>
    <xf numFmtId="180" fontId="0" fillId="0" borderId="0" xfId="0" applyNumberFormat="1">
      <alignment vertical="center"/>
    </xf>
    <xf numFmtId="181" fontId="0" fillId="0" borderId="0" xfId="1" applyNumberFormat="1" applyFont="1">
      <alignment vertical="center"/>
    </xf>
    <xf numFmtId="181" fontId="0" fillId="2" borderId="0" xfId="0" applyNumberFormat="1" applyFill="1">
      <alignment vertical="center"/>
    </xf>
    <xf numFmtId="0" fontId="0" fillId="7" borderId="0" xfId="0" applyFill="1" applyAlignment="1">
      <alignment horizontal="right" vertical="center"/>
    </xf>
    <xf numFmtId="0" fontId="0" fillId="7" borderId="0" xfId="0" applyFill="1">
      <alignment vertical="center"/>
    </xf>
    <xf numFmtId="0" fontId="4" fillId="7" borderId="0" xfId="0" applyFont="1" applyFill="1" applyAlignment="1">
      <alignment horizontal="right" vertical="center"/>
    </xf>
    <xf numFmtId="0" fontId="4" fillId="7" borderId="0" xfId="0" applyFont="1" applyFill="1">
      <alignment vertical="center"/>
    </xf>
    <xf numFmtId="0" fontId="4" fillId="0" borderId="0" xfId="0" applyFont="1" applyFill="1">
      <alignment vertical="center"/>
    </xf>
    <xf numFmtId="49" fontId="3" fillId="0" borderId="0" xfId="0" applyNumberFormat="1" applyFont="1" applyBorder="1">
      <alignment vertical="center"/>
    </xf>
    <xf numFmtId="22" fontId="12" fillId="0" borderId="0" xfId="0" applyNumberFormat="1" applyFont="1" applyBorder="1">
      <alignment vertical="center"/>
    </xf>
    <xf numFmtId="0" fontId="12" fillId="0" borderId="0" xfId="0" applyFont="1" applyBorder="1">
      <alignment vertical="center"/>
    </xf>
    <xf numFmtId="0" fontId="0" fillId="0" borderId="0" xfId="0" applyBorder="1">
      <alignment vertical="center"/>
    </xf>
    <xf numFmtId="178" fontId="0" fillId="0" borderId="0" xfId="0" applyNumberFormat="1" applyAlignment="1">
      <alignment horizontal="right" vertical="center"/>
    </xf>
    <xf numFmtId="10" fontId="0" fillId="2" borderId="0" xfId="0" applyNumberFormat="1" applyFill="1">
      <alignment vertical="center"/>
    </xf>
    <xf numFmtId="14" fontId="3" fillId="0" borderId="0" xfId="0" applyNumberFormat="1" applyFont="1" applyAlignment="1">
      <alignment horizontal="left" vertical="center"/>
    </xf>
    <xf numFmtId="0" fontId="16" fillId="0" borderId="0" xfId="0" applyFont="1" applyFill="1" applyAlignment="1">
      <alignment horizontal="right" vertical="center"/>
    </xf>
    <xf numFmtId="0" fontId="16" fillId="0" borderId="0" xfId="0" applyFont="1" applyFill="1">
      <alignment vertical="center"/>
    </xf>
    <xf numFmtId="0" fontId="0" fillId="0" borderId="0" xfId="0" applyAlignment="1">
      <alignment horizontal="center" vertical="center"/>
    </xf>
    <xf numFmtId="10" fontId="16" fillId="0" borderId="0" xfId="0" applyNumberFormat="1" applyFont="1" applyFill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 applyAlignment="1">
      <alignment horizontal="right" vertical="center"/>
    </xf>
    <xf numFmtId="181" fontId="0" fillId="0" borderId="0" xfId="1" applyNumberFormat="1" applyFont="1" applyFill="1">
      <alignment vertical="center"/>
    </xf>
    <xf numFmtId="0" fontId="0" fillId="2" borderId="0" xfId="0" applyNumberFormat="1" applyFill="1">
      <alignment vertical="center"/>
    </xf>
    <xf numFmtId="49" fontId="0" fillId="0" borderId="0" xfId="0" applyNumberFormat="1" applyFill="1" applyAlignment="1">
      <alignment horizontal="right" vertical="center"/>
    </xf>
    <xf numFmtId="184" fontId="0" fillId="2" borderId="0" xfId="0" applyNumberFormat="1" applyFill="1">
      <alignment vertical="center"/>
    </xf>
    <xf numFmtId="0" fontId="0" fillId="0" borderId="0" xfId="0" applyAlignment="1">
      <alignment horizontal="center" vertical="center"/>
    </xf>
  </cellXfs>
  <cellStyles count="4">
    <cellStyle name="一般" xfId="0" builtinId="0"/>
    <cellStyle name="一般 2" xfId="2"/>
    <cellStyle name="百分比" xfId="1" builtinId="5"/>
    <cellStyle name="百分比 2" xfId="3"/>
  </cellStyles>
  <dxfs count="1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85725</xdr:rowOff>
        </xdr:from>
        <xdr:to>
          <xdr:col>0</xdr:col>
          <xdr:colOff>733425</xdr:colOff>
          <xdr:row>2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評價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638175</xdr:colOff>
          <xdr:row>14</xdr:row>
          <xdr:rowOff>9525</xdr:rowOff>
        </xdr:from>
        <xdr:to>
          <xdr:col>27</xdr:col>
          <xdr:colOff>200025</xdr:colOff>
          <xdr:row>15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貼價格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619125</xdr:colOff>
          <xdr:row>9</xdr:row>
          <xdr:rowOff>171450</xdr:rowOff>
        </xdr:from>
        <xdr:to>
          <xdr:col>27</xdr:col>
          <xdr:colOff>180975</xdr:colOff>
          <xdr:row>11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VOL_CORR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AF255"/>
  <sheetViews>
    <sheetView tabSelected="1" zoomScale="85" zoomScaleNormal="85" workbookViewId="0">
      <selection activeCell="S3" sqref="S3"/>
    </sheetView>
  </sheetViews>
  <sheetFormatPr defaultRowHeight="16.5"/>
  <cols>
    <col min="1" max="1" width="11.375" customWidth="1"/>
    <col min="2" max="2" width="19.25" customWidth="1"/>
    <col min="3" max="5" width="11.875" customWidth="1"/>
    <col min="7" max="7" width="10.625" customWidth="1"/>
    <col min="8" max="8" width="9" customWidth="1"/>
    <col min="9" max="10" width="8.125" customWidth="1"/>
    <col min="14" max="14" width="9" style="29"/>
    <col min="15" max="15" width="13" style="60" customWidth="1"/>
    <col min="16" max="16" width="6.125" hidden="1" customWidth="1"/>
    <col min="17" max="17" width="6" hidden="1" customWidth="1"/>
    <col min="18" max="18" width="5.75" customWidth="1"/>
    <col min="20" max="21" width="9" hidden="1" customWidth="1"/>
    <col min="22" max="24" width="9" style="4" hidden="1" customWidth="1"/>
    <col min="25" max="25" width="9" style="52" customWidth="1"/>
    <col min="28" max="28" width="9.625" bestFit="1" customWidth="1"/>
  </cols>
  <sheetData>
    <row r="1" spans="1:32">
      <c r="B1" t="s">
        <v>8</v>
      </c>
      <c r="C1" s="20">
        <v>42968</v>
      </c>
      <c r="D1" s="65" t="s">
        <v>97</v>
      </c>
      <c r="E1" s="65"/>
      <c r="F1" s="65"/>
      <c r="G1" s="65"/>
      <c r="H1" s="65"/>
      <c r="I1" s="65"/>
      <c r="J1" s="65"/>
      <c r="K1" s="65"/>
      <c r="L1" s="65"/>
      <c r="M1" s="56"/>
      <c r="N1" s="5" t="s">
        <v>96</v>
      </c>
      <c r="O1" s="60" t="s">
        <v>28</v>
      </c>
      <c r="P1" s="15" t="s">
        <v>25</v>
      </c>
      <c r="Q1" s="15" t="s">
        <v>26</v>
      </c>
      <c r="R1" s="15" t="s">
        <v>27</v>
      </c>
      <c r="S1" s="15" t="s">
        <v>98</v>
      </c>
      <c r="T1" s="15"/>
      <c r="U1" s="15"/>
      <c r="V1" s="3" t="s">
        <v>2</v>
      </c>
      <c r="W1" s="3" t="s">
        <v>3</v>
      </c>
      <c r="X1" s="3" t="s">
        <v>30</v>
      </c>
      <c r="Y1" s="51" t="s">
        <v>90</v>
      </c>
      <c r="Z1" s="15" t="s">
        <v>84</v>
      </c>
      <c r="AA1" s="15" t="s">
        <v>99</v>
      </c>
      <c r="AB1" s="15" t="s">
        <v>100</v>
      </c>
      <c r="AC1" s="15" t="s">
        <v>101</v>
      </c>
      <c r="AD1" s="15" t="s">
        <v>2</v>
      </c>
      <c r="AE1" s="15" t="s">
        <v>3</v>
      </c>
      <c r="AF1" s="15" t="s">
        <v>29</v>
      </c>
    </row>
    <row r="2" spans="1:32">
      <c r="B2" t="s">
        <v>35</v>
      </c>
      <c r="C2" s="20">
        <v>43159</v>
      </c>
      <c r="D2">
        <f>C2-C1</f>
        <v>191</v>
      </c>
      <c r="O2" s="60" t="s">
        <v>79</v>
      </c>
      <c r="P2" s="5">
        <v>0</v>
      </c>
      <c r="Q2" s="5">
        <v>0</v>
      </c>
      <c r="R2" s="39">
        <v>0</v>
      </c>
      <c r="S2" s="39">
        <f>C$14</f>
        <v>20</v>
      </c>
      <c r="T2" s="39"/>
      <c r="U2" s="39"/>
      <c r="V2" s="41">
        <v>0</v>
      </c>
      <c r="W2" s="41">
        <v>15.399999999999999</v>
      </c>
      <c r="X2" s="41">
        <v>15.399999999999999</v>
      </c>
      <c r="Y2" s="51"/>
      <c r="Z2" s="15" t="s">
        <v>99</v>
      </c>
      <c r="AA2" s="16">
        <v>1</v>
      </c>
      <c r="AB2" s="16"/>
      <c r="AC2" s="16"/>
      <c r="AD2" s="16"/>
      <c r="AE2" s="16"/>
      <c r="AF2" s="16"/>
    </row>
    <row r="3" spans="1:32">
      <c r="C3" s="18" t="s">
        <v>98</v>
      </c>
      <c r="D3" s="18" t="s">
        <v>100</v>
      </c>
      <c r="E3" s="18" t="s">
        <v>101</v>
      </c>
      <c r="F3" s="18" t="s">
        <v>2</v>
      </c>
      <c r="G3" s="18" t="s">
        <v>3</v>
      </c>
      <c r="H3" s="18" t="s">
        <v>29</v>
      </c>
      <c r="I3" s="18" t="s">
        <v>4</v>
      </c>
      <c r="J3" s="18" t="s">
        <v>5</v>
      </c>
      <c r="K3" s="18" t="s">
        <v>6</v>
      </c>
      <c r="L3" s="18" t="s">
        <v>7</v>
      </c>
      <c r="M3" s="17"/>
      <c r="O3" s="60" t="s">
        <v>80</v>
      </c>
      <c r="P3">
        <v>1</v>
      </c>
      <c r="Q3">
        <v>1</v>
      </c>
      <c r="R3" s="40">
        <v>1</v>
      </c>
      <c r="S3" s="39">
        <v>19.5</v>
      </c>
      <c r="T3" s="39"/>
      <c r="U3" s="39"/>
      <c r="V3" s="42">
        <v>0</v>
      </c>
      <c r="W3" s="42">
        <v>0</v>
      </c>
      <c r="X3" s="42">
        <v>0</v>
      </c>
      <c r="Y3" s="54"/>
      <c r="Z3" s="15" t="s">
        <v>100</v>
      </c>
      <c r="AA3" s="16"/>
      <c r="AB3" s="16"/>
      <c r="AC3" s="16"/>
      <c r="AD3" s="16"/>
      <c r="AE3" s="16"/>
      <c r="AF3" s="16"/>
    </row>
    <row r="4" spans="1:32">
      <c r="A4" s="34"/>
      <c r="B4" s="9" t="s">
        <v>9</v>
      </c>
      <c r="C4" s="9"/>
      <c r="O4" s="60" t="s">
        <v>81</v>
      </c>
      <c r="P4">
        <v>1</v>
      </c>
      <c r="Q4">
        <v>2</v>
      </c>
      <c r="R4" s="40">
        <v>2</v>
      </c>
      <c r="S4" s="39">
        <v>0</v>
      </c>
      <c r="T4" s="39"/>
      <c r="U4" s="39"/>
      <c r="V4" s="42">
        <v>0</v>
      </c>
      <c r="W4" s="42">
        <v>0</v>
      </c>
      <c r="X4" s="42">
        <v>0</v>
      </c>
      <c r="Y4" s="54"/>
      <c r="Z4" s="15" t="s">
        <v>101</v>
      </c>
      <c r="AA4" s="16"/>
      <c r="AB4" s="16"/>
      <c r="AC4" s="16"/>
      <c r="AD4" s="16"/>
      <c r="AE4" s="16"/>
      <c r="AF4" s="16"/>
    </row>
    <row r="5" spans="1:32">
      <c r="B5" t="s">
        <v>107</v>
      </c>
      <c r="C5" s="27">
        <v>0</v>
      </c>
      <c r="O5" s="60" t="s">
        <v>82</v>
      </c>
      <c r="P5">
        <v>1</v>
      </c>
      <c r="Q5">
        <v>3</v>
      </c>
      <c r="R5" s="40">
        <v>3</v>
      </c>
      <c r="S5" s="39">
        <v>0</v>
      </c>
      <c r="T5" s="39"/>
      <c r="U5" s="39"/>
      <c r="V5" s="42">
        <v>0</v>
      </c>
      <c r="W5" s="42">
        <v>0</v>
      </c>
      <c r="X5" s="42">
        <v>0</v>
      </c>
      <c r="Y5" s="54"/>
      <c r="Z5" s="15" t="s">
        <v>2</v>
      </c>
      <c r="AA5" s="16"/>
      <c r="AB5" s="16"/>
      <c r="AC5" s="16"/>
      <c r="AD5" s="16"/>
      <c r="AE5" s="16"/>
      <c r="AF5" s="16"/>
    </row>
    <row r="6" spans="1:32">
      <c r="A6" t="s">
        <v>104</v>
      </c>
      <c r="B6" t="s">
        <v>102</v>
      </c>
      <c r="C6" s="6">
        <v>3</v>
      </c>
      <c r="O6" s="60" t="s">
        <v>83</v>
      </c>
      <c r="P6">
        <v>1</v>
      </c>
      <c r="Q6">
        <v>4</v>
      </c>
      <c r="R6" s="40">
        <v>4</v>
      </c>
      <c r="S6" s="39">
        <v>0</v>
      </c>
      <c r="T6" s="39"/>
      <c r="U6" s="39"/>
      <c r="V6" s="42">
        <v>0</v>
      </c>
      <c r="W6" s="42">
        <v>0</v>
      </c>
      <c r="X6" s="42">
        <v>0</v>
      </c>
      <c r="Y6" s="54"/>
      <c r="Z6" s="15" t="s">
        <v>3</v>
      </c>
      <c r="AA6" s="16"/>
      <c r="AB6" s="16"/>
      <c r="AC6" s="16"/>
      <c r="AD6" s="16"/>
      <c r="AE6" s="16"/>
      <c r="AF6" s="16"/>
    </row>
    <row r="7" spans="1:32">
      <c r="B7" t="s">
        <v>10</v>
      </c>
      <c r="C7" s="29">
        <v>1.4999999999999999E-2</v>
      </c>
      <c r="P7">
        <v>1</v>
      </c>
      <c r="Q7">
        <v>5</v>
      </c>
      <c r="R7" s="40">
        <v>5</v>
      </c>
      <c r="S7" s="39"/>
      <c r="T7" s="39"/>
      <c r="U7" s="39"/>
      <c r="V7" s="42">
        <v>0</v>
      </c>
      <c r="W7" s="42">
        <v>0</v>
      </c>
      <c r="X7" s="42">
        <v>0</v>
      </c>
      <c r="Y7" s="54"/>
      <c r="Z7" s="15" t="s">
        <v>29</v>
      </c>
      <c r="AA7" s="16"/>
      <c r="AB7" s="16"/>
      <c r="AC7" s="16"/>
      <c r="AD7" s="16"/>
      <c r="AE7" s="16"/>
      <c r="AF7" s="16"/>
    </row>
    <row r="8" spans="1:32">
      <c r="B8" t="s">
        <v>11</v>
      </c>
      <c r="C8" s="49">
        <v>1.4E-2</v>
      </c>
      <c r="P8">
        <v>1</v>
      </c>
      <c r="Q8">
        <v>6</v>
      </c>
      <c r="R8" s="40">
        <v>6</v>
      </c>
      <c r="S8" s="39"/>
      <c r="T8" s="39"/>
      <c r="U8" s="39"/>
      <c r="V8" s="42">
        <v>0</v>
      </c>
      <c r="W8" s="42">
        <v>0</v>
      </c>
      <c r="X8" s="42">
        <v>0</v>
      </c>
      <c r="Y8" s="54"/>
    </row>
    <row r="9" spans="1:32">
      <c r="A9" t="s">
        <v>106</v>
      </c>
      <c r="B9" t="s">
        <v>103</v>
      </c>
      <c r="C9" s="10">
        <v>2</v>
      </c>
      <c r="D9" s="5" t="s">
        <v>89</v>
      </c>
      <c r="E9">
        <v>12</v>
      </c>
      <c r="H9" s="36"/>
      <c r="P9">
        <v>1</v>
      </c>
      <c r="Q9">
        <v>7</v>
      </c>
      <c r="R9" s="40">
        <v>7</v>
      </c>
      <c r="S9" s="39"/>
      <c r="T9" s="39"/>
      <c r="U9" s="39"/>
      <c r="V9" s="42">
        <v>0</v>
      </c>
      <c r="W9" s="42">
        <v>0</v>
      </c>
      <c r="X9" s="42">
        <v>0</v>
      </c>
      <c r="Y9" s="54"/>
    </row>
    <row r="10" spans="1:32">
      <c r="A10" t="s">
        <v>85</v>
      </c>
      <c r="B10" t="s">
        <v>12</v>
      </c>
      <c r="C10" s="64">
        <v>4.6249999999999999E-2</v>
      </c>
      <c r="D10" s="5" t="s">
        <v>88</v>
      </c>
      <c r="E10" s="37">
        <f>C10*(C6+1)</f>
        <v>0.185</v>
      </c>
      <c r="P10">
        <v>1</v>
      </c>
      <c r="Q10">
        <v>8</v>
      </c>
      <c r="R10" s="40">
        <v>8</v>
      </c>
      <c r="S10" s="39"/>
      <c r="T10" s="39"/>
      <c r="U10" s="39"/>
      <c r="V10" s="42">
        <v>0</v>
      </c>
      <c r="W10" s="42">
        <v>0</v>
      </c>
      <c r="X10" s="42">
        <v>0</v>
      </c>
      <c r="Y10" s="54"/>
      <c r="AC10" s="53">
        <v>1</v>
      </c>
      <c r="AD10" s="55" t="s">
        <v>91</v>
      </c>
    </row>
    <row r="11" spans="1:32">
      <c r="B11" t="s">
        <v>105</v>
      </c>
      <c r="C11" s="62">
        <v>1</v>
      </c>
      <c r="P11">
        <v>1</v>
      </c>
      <c r="Q11">
        <v>9</v>
      </c>
      <c r="R11" s="40">
        <v>9</v>
      </c>
      <c r="S11" s="39"/>
      <c r="T11" s="39"/>
      <c r="U11" s="39"/>
      <c r="V11" s="42">
        <v>0</v>
      </c>
      <c r="W11" s="42">
        <v>0</v>
      </c>
      <c r="X11" s="42">
        <v>0</v>
      </c>
      <c r="Y11" s="54"/>
      <c r="Z11" s="34"/>
      <c r="AA11" s="5"/>
      <c r="AB11" s="5"/>
      <c r="AC11" s="53">
        <v>2</v>
      </c>
      <c r="AD11" s="55" t="s">
        <v>92</v>
      </c>
    </row>
    <row r="12" spans="1:32">
      <c r="B12" t="s">
        <v>14</v>
      </c>
      <c r="C12" s="38">
        <v>1</v>
      </c>
      <c r="N12" s="19"/>
      <c r="P12">
        <v>1</v>
      </c>
      <c r="Q12">
        <v>10</v>
      </c>
      <c r="R12" s="40">
        <v>10</v>
      </c>
      <c r="S12" s="39"/>
      <c r="T12" s="39"/>
      <c r="U12" s="39"/>
      <c r="V12" s="42">
        <v>0</v>
      </c>
      <c r="W12" s="42">
        <v>0</v>
      </c>
      <c r="X12" s="42">
        <v>0</v>
      </c>
      <c r="Y12" s="54"/>
      <c r="Z12" s="5"/>
      <c r="AC12" s="53">
        <v>3</v>
      </c>
      <c r="AD12" s="55" t="s">
        <v>93</v>
      </c>
    </row>
    <row r="13" spans="1:32">
      <c r="B13" t="s">
        <v>15</v>
      </c>
      <c r="C13" s="38">
        <v>1.05</v>
      </c>
      <c r="G13" s="57"/>
      <c r="I13" s="59"/>
      <c r="N13" s="19"/>
      <c r="P13">
        <v>1</v>
      </c>
      <c r="Q13">
        <v>11</v>
      </c>
      <c r="R13" s="40">
        <v>11</v>
      </c>
      <c r="S13" s="39"/>
      <c r="T13" s="39"/>
      <c r="U13" s="39"/>
      <c r="V13" s="42">
        <v>0</v>
      </c>
      <c r="W13" s="42">
        <v>0</v>
      </c>
      <c r="X13" s="42">
        <v>0</v>
      </c>
      <c r="Y13" s="54"/>
      <c r="Z13" s="48"/>
      <c r="AC13" s="53">
        <v>4</v>
      </c>
      <c r="AD13" s="55" t="s">
        <v>94</v>
      </c>
    </row>
    <row r="14" spans="1:32">
      <c r="B14" t="s">
        <v>13</v>
      </c>
      <c r="C14" s="6">
        <v>20</v>
      </c>
      <c r="D14" s="27"/>
      <c r="E14" s="27"/>
      <c r="F14" s="27"/>
      <c r="N14" s="19"/>
      <c r="P14">
        <v>1</v>
      </c>
      <c r="Q14">
        <v>12</v>
      </c>
      <c r="R14" s="40">
        <v>12</v>
      </c>
      <c r="S14" s="39"/>
      <c r="T14" s="39"/>
      <c r="U14" s="39"/>
      <c r="V14" s="42">
        <v>0</v>
      </c>
      <c r="W14" s="42">
        <v>0</v>
      </c>
      <c r="X14" s="42">
        <v>0</v>
      </c>
      <c r="Y14" s="54"/>
      <c r="Z14" s="5"/>
      <c r="AC14" s="53"/>
    </row>
    <row r="15" spans="1:32">
      <c r="B15" t="s">
        <v>31</v>
      </c>
      <c r="C15">
        <f>ROUND($C$12*C$14,2)</f>
        <v>20</v>
      </c>
      <c r="D15" s="27"/>
      <c r="E15" s="27"/>
      <c r="F15" s="27"/>
      <c r="H15" s="35"/>
      <c r="N15" s="19"/>
      <c r="O15" s="63"/>
      <c r="P15" s="27"/>
      <c r="Q15" s="27"/>
      <c r="R15" s="27"/>
      <c r="S15" s="7"/>
      <c r="T15" s="39"/>
      <c r="U15" s="39"/>
      <c r="V15" s="42">
        <v>0</v>
      </c>
      <c r="W15" s="42">
        <v>0</v>
      </c>
      <c r="X15" s="42">
        <v>0</v>
      </c>
      <c r="Y15" s="54"/>
      <c r="Z15" s="5"/>
      <c r="AC15" s="53">
        <v>5</v>
      </c>
      <c r="AD15" s="55" t="s">
        <v>95</v>
      </c>
    </row>
    <row r="16" spans="1:32">
      <c r="B16" t="s">
        <v>16</v>
      </c>
      <c r="C16">
        <f>ROUND($C$13*C$14,2)</f>
        <v>21</v>
      </c>
      <c r="D16" s="27"/>
      <c r="E16" s="27"/>
      <c r="F16" s="27"/>
      <c r="G16" s="58"/>
      <c r="H16" s="35"/>
      <c r="N16" s="19"/>
      <c r="O16" s="63"/>
      <c r="P16" s="27"/>
      <c r="Q16" s="27"/>
      <c r="R16" s="27"/>
      <c r="S16" s="7"/>
      <c r="T16" s="39"/>
      <c r="U16" s="39"/>
      <c r="V16" s="42">
        <v>0</v>
      </c>
      <c r="W16" s="42">
        <v>0</v>
      </c>
      <c r="X16" s="42">
        <v>0</v>
      </c>
      <c r="Y16" s="54"/>
    </row>
    <row r="17" spans="1:29">
      <c r="B17" t="s">
        <v>86</v>
      </c>
      <c r="C17" s="6">
        <v>19.5</v>
      </c>
      <c r="D17" s="27"/>
      <c r="E17" s="27"/>
      <c r="F17" s="27"/>
      <c r="H17" s="35"/>
      <c r="N17" s="19"/>
      <c r="O17" s="63"/>
      <c r="P17" s="27"/>
      <c r="Q17" s="27"/>
      <c r="R17" s="27"/>
      <c r="S17" s="7"/>
      <c r="T17" s="39"/>
      <c r="U17" s="39"/>
      <c r="V17" s="42">
        <v>0</v>
      </c>
      <c r="W17" s="42">
        <v>0</v>
      </c>
      <c r="X17" s="42">
        <v>0</v>
      </c>
      <c r="Y17" s="54"/>
    </row>
    <row r="18" spans="1:29">
      <c r="B18" t="s">
        <v>17</v>
      </c>
      <c r="C18" s="37">
        <v>0.22</v>
      </c>
      <c r="D18" s="61"/>
      <c r="E18" s="61"/>
      <c r="F18" s="27"/>
      <c r="N18" s="19"/>
      <c r="O18" s="63"/>
      <c r="P18" s="27"/>
      <c r="Q18" s="27"/>
      <c r="R18" s="27"/>
      <c r="S18" s="7"/>
      <c r="T18" s="39"/>
      <c r="U18" s="39"/>
      <c r="V18" s="42">
        <v>0</v>
      </c>
      <c r="W18" s="42">
        <v>0</v>
      </c>
      <c r="X18" s="42">
        <v>0</v>
      </c>
      <c r="Y18" s="54"/>
      <c r="Z18" s="34"/>
    </row>
    <row r="19" spans="1:29">
      <c r="C19">
        <v>0</v>
      </c>
      <c r="D19">
        <v>0</v>
      </c>
      <c r="E19">
        <v>0</v>
      </c>
      <c r="I19" s="10"/>
      <c r="N19" s="19"/>
      <c r="O19" s="63"/>
      <c r="P19" s="27"/>
      <c r="Q19" s="27"/>
      <c r="R19" s="27"/>
      <c r="S19" s="7"/>
      <c r="T19" s="39"/>
      <c r="U19" s="39"/>
      <c r="V19" s="42">
        <v>0</v>
      </c>
      <c r="W19" s="42">
        <v>0</v>
      </c>
      <c r="X19" s="42">
        <v>0</v>
      </c>
      <c r="Y19" s="54"/>
    </row>
    <row r="20" spans="1:29">
      <c r="C20" s="18" t="s">
        <v>98</v>
      </c>
      <c r="D20" s="18" t="s">
        <v>100</v>
      </c>
      <c r="E20" s="18" t="s">
        <v>101</v>
      </c>
      <c r="F20" s="18" t="s">
        <v>2</v>
      </c>
      <c r="G20" s="18" t="s">
        <v>3</v>
      </c>
      <c r="H20" s="18" t="s">
        <v>29</v>
      </c>
      <c r="I20" s="18" t="s">
        <v>4</v>
      </c>
      <c r="J20" s="18" t="s">
        <v>5</v>
      </c>
      <c r="K20" s="18" t="s">
        <v>6</v>
      </c>
      <c r="L20" s="18" t="s">
        <v>7</v>
      </c>
      <c r="N20" s="19"/>
      <c r="O20" s="63"/>
      <c r="P20" s="27"/>
      <c r="Q20" s="27"/>
      <c r="R20" s="27"/>
      <c r="S20" s="7"/>
      <c r="T20" s="39"/>
      <c r="U20" s="39"/>
      <c r="V20" s="42">
        <v>0</v>
      </c>
      <c r="W20" s="42">
        <v>0</v>
      </c>
      <c r="X20" s="42">
        <v>0</v>
      </c>
      <c r="Y20" s="54"/>
    </row>
    <row r="21" spans="1:29">
      <c r="B21" s="9" t="s">
        <v>19</v>
      </c>
      <c r="C21" s="9"/>
      <c r="D21" s="5" t="s">
        <v>20</v>
      </c>
      <c r="E21" s="5" t="s">
        <v>87</v>
      </c>
      <c r="I21" s="14"/>
      <c r="N21" s="19"/>
      <c r="O21" s="63"/>
      <c r="P21" s="27"/>
      <c r="Q21" s="27"/>
      <c r="R21" s="27"/>
      <c r="S21" s="7"/>
      <c r="T21" s="39"/>
      <c r="U21" s="39"/>
      <c r="V21" s="42">
        <v>0</v>
      </c>
      <c r="W21" s="42">
        <v>0</v>
      </c>
      <c r="X21" s="42">
        <v>0</v>
      </c>
      <c r="Y21" s="54"/>
    </row>
    <row r="22" spans="1:29">
      <c r="B22" t="s">
        <v>32</v>
      </c>
      <c r="C22" s="13">
        <v>-2.5900095630427045E-2</v>
      </c>
      <c r="D22" s="12">
        <v>0.33203125</v>
      </c>
      <c r="E22" s="5">
        <v>0</v>
      </c>
      <c r="F22" s="13"/>
      <c r="G22" s="14"/>
      <c r="I22" s="36"/>
      <c r="N22" s="19"/>
      <c r="O22" s="63"/>
      <c r="P22" s="27"/>
      <c r="Q22" s="27"/>
      <c r="R22" s="27"/>
      <c r="S22" s="7"/>
      <c r="T22" s="39"/>
      <c r="U22" s="39"/>
      <c r="V22" s="42">
        <v>0</v>
      </c>
      <c r="W22" s="42">
        <v>0</v>
      </c>
      <c r="X22" s="42">
        <v>0</v>
      </c>
      <c r="Y22" s="54"/>
    </row>
    <row r="23" spans="1:29">
      <c r="B23" t="s">
        <v>33</v>
      </c>
      <c r="C23" s="19">
        <v>0.99223924402783259</v>
      </c>
      <c r="D23" s="14"/>
      <c r="E23" s="14"/>
      <c r="N23" s="19"/>
      <c r="O23" s="63"/>
      <c r="P23" s="27"/>
      <c r="Q23" s="27"/>
      <c r="R23" s="27"/>
      <c r="S23" s="7"/>
      <c r="T23" s="39"/>
      <c r="U23" s="39"/>
      <c r="V23" s="42">
        <v>0</v>
      </c>
      <c r="W23" s="42">
        <v>0</v>
      </c>
      <c r="X23" s="42">
        <v>0</v>
      </c>
      <c r="Y23" s="54"/>
      <c r="Z23" s="34"/>
      <c r="AA23" s="30"/>
      <c r="AB23" s="30"/>
      <c r="AC23" s="30"/>
    </row>
    <row r="24" spans="1:29">
      <c r="B24" t="s">
        <v>34</v>
      </c>
      <c r="C24" s="13">
        <v>0.96633914839740553</v>
      </c>
      <c r="N24" s="19"/>
      <c r="O24" s="63"/>
      <c r="P24" s="27"/>
      <c r="Q24" s="27"/>
      <c r="R24" s="27"/>
      <c r="S24" s="7"/>
      <c r="T24" s="39"/>
      <c r="U24" s="39"/>
      <c r="V24" s="42">
        <v>0</v>
      </c>
      <c r="W24" s="42">
        <v>0</v>
      </c>
      <c r="X24" s="42">
        <v>0</v>
      </c>
      <c r="Y24" s="54"/>
      <c r="AA24" s="30"/>
      <c r="AB24" s="30"/>
      <c r="AC24" s="30"/>
    </row>
    <row r="25" spans="1:29">
      <c r="A25" s="11" t="s">
        <v>18</v>
      </c>
      <c r="C25" s="19"/>
      <c r="E25" s="19"/>
      <c r="J25" s="36"/>
      <c r="N25" s="19"/>
      <c r="O25" s="63"/>
      <c r="P25" s="27"/>
      <c r="Q25" s="27"/>
      <c r="R25" s="27"/>
      <c r="S25" s="7"/>
      <c r="T25" s="39"/>
      <c r="U25" s="39"/>
      <c r="V25" s="42">
        <v>0</v>
      </c>
      <c r="W25" s="42">
        <v>0</v>
      </c>
      <c r="X25" s="42">
        <v>0</v>
      </c>
      <c r="AA25" s="30"/>
      <c r="AB25" s="30"/>
      <c r="AC25" s="30"/>
    </row>
    <row r="26" spans="1:29">
      <c r="A26" t="b">
        <v>1</v>
      </c>
      <c r="B26" t="s">
        <v>21</v>
      </c>
      <c r="C26" s="26">
        <v>-2.5900095630427045E-2</v>
      </c>
      <c r="I26" s="36"/>
      <c r="O26" s="63"/>
      <c r="P26" s="27"/>
      <c r="Q26" s="27"/>
      <c r="R26" s="27"/>
      <c r="S26" s="7"/>
      <c r="T26" s="7"/>
      <c r="U26" s="7"/>
      <c r="V26" s="43">
        <v>0</v>
      </c>
      <c r="W26" s="43">
        <v>0</v>
      </c>
      <c r="X26" s="43">
        <v>0</v>
      </c>
    </row>
    <row r="27" spans="1:29">
      <c r="A27" t="b">
        <v>1</v>
      </c>
      <c r="B27" t="s">
        <v>22</v>
      </c>
      <c r="C27" s="28">
        <v>0</v>
      </c>
      <c r="D27" s="28"/>
      <c r="E27" s="28"/>
      <c r="G27" s="19">
        <f>C27*C14</f>
        <v>0</v>
      </c>
      <c r="H27" s="19">
        <f t="shared" ref="H27:I27" si="0">D27*D14</f>
        <v>0</v>
      </c>
      <c r="I27" s="19">
        <f t="shared" si="0"/>
        <v>0</v>
      </c>
      <c r="K27" s="29">
        <f>G27+H27+I27</f>
        <v>0</v>
      </c>
      <c r="O27" s="63"/>
      <c r="P27" s="27"/>
      <c r="Q27" s="27"/>
      <c r="R27" s="27"/>
      <c r="S27" s="7"/>
      <c r="T27" s="7"/>
      <c r="U27" s="7"/>
      <c r="V27" s="43">
        <v>0</v>
      </c>
      <c r="W27" s="43">
        <v>0</v>
      </c>
      <c r="X27" s="43">
        <v>0</v>
      </c>
    </row>
    <row r="28" spans="1:29">
      <c r="A28" t="b">
        <v>0</v>
      </c>
      <c r="B28" t="s">
        <v>23</v>
      </c>
      <c r="C28" s="28"/>
      <c r="D28" s="28"/>
      <c r="E28" s="28"/>
      <c r="O28" s="63"/>
      <c r="P28" s="27"/>
      <c r="Q28" s="27"/>
      <c r="R28" s="27"/>
      <c r="S28" s="7"/>
      <c r="T28" s="7"/>
      <c r="U28" s="7"/>
      <c r="V28" s="43">
        <v>0</v>
      </c>
      <c r="W28" s="43">
        <v>0</v>
      </c>
      <c r="X28" s="43">
        <v>0</v>
      </c>
    </row>
    <row r="29" spans="1:29">
      <c r="A29" t="b">
        <v>0</v>
      </c>
      <c r="B29" t="s">
        <v>24</v>
      </c>
      <c r="C29" s="28"/>
      <c r="D29" s="28"/>
      <c r="E29" s="28"/>
      <c r="O29" s="63"/>
      <c r="P29" s="27"/>
      <c r="Q29" s="27"/>
      <c r="R29" s="27"/>
      <c r="S29" s="7"/>
      <c r="T29" s="7"/>
      <c r="U29" s="7"/>
      <c r="V29" s="43">
        <v>0</v>
      </c>
      <c r="W29" s="43">
        <v>0</v>
      </c>
      <c r="X29" s="43">
        <v>0</v>
      </c>
    </row>
    <row r="30" spans="1:29">
      <c r="C30" s="28"/>
      <c r="D30" s="28"/>
      <c r="E30" s="28"/>
      <c r="O30" s="63"/>
      <c r="P30" s="27"/>
      <c r="Q30" s="27"/>
      <c r="R30" s="27"/>
      <c r="S30" s="7"/>
      <c r="T30" s="7"/>
      <c r="U30" s="7"/>
      <c r="V30" s="43">
        <v>0</v>
      </c>
      <c r="W30" s="43">
        <v>0</v>
      </c>
      <c r="X30" s="43">
        <v>0</v>
      </c>
    </row>
    <row r="31" spans="1:29">
      <c r="B31" s="34"/>
      <c r="C31" s="28"/>
      <c r="D31" s="28"/>
      <c r="E31" s="28"/>
      <c r="G31" s="13"/>
      <c r="O31" s="63"/>
      <c r="P31" s="27"/>
      <c r="Q31" s="27"/>
      <c r="R31" s="27"/>
      <c r="S31" s="7"/>
      <c r="T31" s="7"/>
      <c r="U31" s="7"/>
      <c r="V31" s="43">
        <v>0</v>
      </c>
      <c r="W31" s="43">
        <v>0</v>
      </c>
      <c r="X31" s="43">
        <v>0</v>
      </c>
    </row>
    <row r="32" spans="1:29">
      <c r="B32" s="34"/>
      <c r="C32" s="35"/>
      <c r="G32" s="13"/>
      <c r="O32" s="63"/>
      <c r="P32" s="27"/>
      <c r="Q32" s="27"/>
      <c r="R32" s="27"/>
      <c r="S32" s="7"/>
      <c r="T32" s="7"/>
      <c r="U32" s="7"/>
      <c r="V32" s="43">
        <v>0</v>
      </c>
      <c r="W32" s="43">
        <v>0</v>
      </c>
      <c r="X32" s="43">
        <v>0</v>
      </c>
    </row>
    <row r="33" spans="2:24">
      <c r="B33" s="34"/>
      <c r="C33" s="35">
        <f>C10*2</f>
        <v>9.2499999999999999E-2</v>
      </c>
      <c r="G33" s="13"/>
      <c r="H33" s="14"/>
      <c r="O33" s="63"/>
      <c r="P33" s="27"/>
      <c r="Q33" s="27"/>
      <c r="R33" s="27"/>
      <c r="S33" s="7"/>
      <c r="T33" s="7"/>
      <c r="U33" s="7"/>
      <c r="V33" s="43">
        <v>0</v>
      </c>
      <c r="W33" s="43">
        <v>0</v>
      </c>
      <c r="X33" s="43">
        <v>0</v>
      </c>
    </row>
    <row r="34" spans="2:24">
      <c r="C34">
        <f>1 - EXP(-C7*(2)*0.25)</f>
        <v>7.4719451808615833E-3</v>
      </c>
      <c r="O34" s="63"/>
      <c r="P34" s="27"/>
      <c r="Q34" s="27"/>
      <c r="R34" s="27"/>
      <c r="S34" s="7"/>
      <c r="T34" s="7"/>
      <c r="U34" s="7"/>
      <c r="V34" s="43">
        <v>0</v>
      </c>
      <c r="W34" s="43">
        <v>0</v>
      </c>
      <c r="X34" s="43">
        <v>0</v>
      </c>
    </row>
    <row r="35" spans="2:24">
      <c r="C35" s="29"/>
      <c r="O35" s="63"/>
      <c r="P35" s="27"/>
      <c r="Q35" s="27"/>
      <c r="R35" s="27"/>
      <c r="S35" s="7"/>
      <c r="T35" s="7"/>
      <c r="U35" s="7"/>
      <c r="V35" s="43">
        <v>0</v>
      </c>
      <c r="W35" s="43">
        <v>0</v>
      </c>
      <c r="X35" s="43">
        <v>0</v>
      </c>
    </row>
    <row r="36" spans="2:24">
      <c r="C36" s="28">
        <f>C33+C34</f>
        <v>9.9971945180861582E-2</v>
      </c>
      <c r="O36" s="63"/>
      <c r="P36" s="27"/>
      <c r="Q36" s="27"/>
      <c r="R36" s="27"/>
      <c r="S36" s="7"/>
      <c r="T36" s="7"/>
      <c r="U36" s="7"/>
      <c r="V36" s="43">
        <v>0</v>
      </c>
      <c r="W36" s="43">
        <v>0</v>
      </c>
      <c r="X36" s="43">
        <v>0</v>
      </c>
    </row>
    <row r="37" spans="2:24">
      <c r="O37" s="63"/>
      <c r="P37" s="27"/>
      <c r="Q37" s="27"/>
      <c r="R37" s="27"/>
      <c r="S37" s="7"/>
      <c r="T37" s="7"/>
      <c r="U37" s="7"/>
      <c r="V37" s="43">
        <v>0</v>
      </c>
      <c r="W37" s="43">
        <v>0</v>
      </c>
      <c r="X37" s="43">
        <v>0</v>
      </c>
    </row>
    <row r="38" spans="2:24">
      <c r="O38" s="63"/>
      <c r="P38" s="27"/>
      <c r="Q38" s="27"/>
      <c r="R38" s="27"/>
      <c r="S38" s="7"/>
      <c r="T38" s="7"/>
      <c r="U38" s="7"/>
      <c r="V38" s="43">
        <v>0</v>
      </c>
      <c r="W38" s="43">
        <v>0</v>
      </c>
      <c r="X38" s="43">
        <v>0</v>
      </c>
    </row>
    <row r="39" spans="2:24">
      <c r="O39" s="63"/>
      <c r="P39" s="27"/>
      <c r="Q39" s="27"/>
      <c r="R39" s="27"/>
      <c r="S39" s="7"/>
      <c r="T39" s="7"/>
      <c r="U39" s="7"/>
      <c r="V39" s="43">
        <v>0</v>
      </c>
      <c r="W39" s="43">
        <v>0</v>
      </c>
      <c r="X39" s="43">
        <v>0</v>
      </c>
    </row>
    <row r="40" spans="2:24">
      <c r="O40" s="63"/>
      <c r="P40" s="27"/>
      <c r="Q40" s="27"/>
      <c r="R40" s="27"/>
      <c r="S40" s="7"/>
      <c r="T40" s="7"/>
      <c r="U40" s="7"/>
      <c r="V40" s="43">
        <v>0</v>
      </c>
      <c r="W40" s="43">
        <v>0</v>
      </c>
      <c r="X40" s="43">
        <v>0</v>
      </c>
    </row>
    <row r="41" spans="2:24">
      <c r="O41" s="63"/>
      <c r="P41" s="27"/>
      <c r="Q41" s="27"/>
      <c r="R41" s="27"/>
      <c r="S41" s="7"/>
      <c r="T41" s="7"/>
      <c r="U41" s="7"/>
      <c r="V41" s="43">
        <v>0</v>
      </c>
      <c r="W41" s="43">
        <v>0</v>
      </c>
      <c r="X41" s="43">
        <v>0</v>
      </c>
    </row>
    <row r="42" spans="2:24">
      <c r="O42" s="63"/>
      <c r="P42" s="27"/>
      <c r="Q42" s="27"/>
      <c r="R42" s="27"/>
      <c r="S42" s="7"/>
      <c r="T42" s="7"/>
      <c r="U42" s="7"/>
      <c r="V42" s="43">
        <v>0</v>
      </c>
      <c r="W42" s="43">
        <v>0</v>
      </c>
      <c r="X42" s="43">
        <v>0</v>
      </c>
    </row>
    <row r="43" spans="2:24">
      <c r="O43" s="63"/>
      <c r="P43" s="27"/>
      <c r="Q43" s="27"/>
      <c r="R43" s="27"/>
      <c r="S43" s="7"/>
      <c r="T43" s="7"/>
      <c r="U43" s="7"/>
      <c r="V43" s="43">
        <v>0</v>
      </c>
      <c r="W43" s="43">
        <v>0</v>
      </c>
      <c r="X43" s="43">
        <v>0</v>
      </c>
    </row>
    <row r="44" spans="2:24">
      <c r="O44" s="63"/>
      <c r="P44" s="27"/>
      <c r="Q44" s="27"/>
      <c r="R44" s="27"/>
      <c r="S44" s="7"/>
      <c r="T44" s="7"/>
      <c r="U44" s="7"/>
      <c r="V44" s="43">
        <v>0</v>
      </c>
      <c r="W44" s="43">
        <v>0</v>
      </c>
      <c r="X44" s="43">
        <v>0</v>
      </c>
    </row>
    <row r="45" spans="2:24">
      <c r="O45" s="63"/>
      <c r="P45" s="27"/>
      <c r="Q45" s="27"/>
      <c r="R45" s="27"/>
      <c r="S45" s="7"/>
      <c r="T45" s="7"/>
      <c r="U45" s="7"/>
      <c r="V45" s="43">
        <v>0</v>
      </c>
      <c r="W45" s="43">
        <v>0</v>
      </c>
      <c r="X45" s="43">
        <v>0</v>
      </c>
    </row>
    <row r="46" spans="2:24">
      <c r="O46" s="63"/>
      <c r="P46" s="27"/>
      <c r="Q46" s="27"/>
      <c r="R46" s="27"/>
      <c r="S46" s="7"/>
      <c r="T46" s="7"/>
      <c r="U46" s="7"/>
      <c r="V46" s="43">
        <v>0</v>
      </c>
      <c r="W46" s="43">
        <v>0</v>
      </c>
      <c r="X46" s="43">
        <v>0</v>
      </c>
    </row>
    <row r="47" spans="2:24">
      <c r="O47" s="63"/>
      <c r="P47" s="27"/>
      <c r="Q47" s="27"/>
      <c r="R47" s="27"/>
      <c r="S47" s="7"/>
      <c r="T47" s="7"/>
      <c r="U47" s="7"/>
      <c r="V47" s="43">
        <v>0</v>
      </c>
      <c r="W47" s="43">
        <v>0</v>
      </c>
      <c r="X47" s="43">
        <v>0</v>
      </c>
    </row>
    <row r="48" spans="2:24">
      <c r="O48" s="63"/>
      <c r="P48" s="27"/>
      <c r="Q48" s="27"/>
      <c r="R48" s="27"/>
      <c r="S48" s="7"/>
      <c r="T48" s="7"/>
      <c r="U48" s="7"/>
      <c r="V48" s="43">
        <v>0</v>
      </c>
      <c r="W48" s="43">
        <v>0</v>
      </c>
      <c r="X48" s="43">
        <v>0</v>
      </c>
    </row>
    <row r="49" spans="15:24">
      <c r="O49" s="63"/>
      <c r="P49" s="27"/>
      <c r="Q49" s="27"/>
      <c r="R49" s="27"/>
      <c r="S49" s="7"/>
      <c r="T49" s="7"/>
      <c r="U49" s="7"/>
      <c r="V49" s="43">
        <v>0</v>
      </c>
      <c r="W49" s="43">
        <v>0</v>
      </c>
      <c r="X49" s="43">
        <v>0</v>
      </c>
    </row>
    <row r="50" spans="15:24">
      <c r="O50" s="63"/>
      <c r="P50" s="27"/>
      <c r="Q50" s="27"/>
      <c r="R50" s="27"/>
      <c r="S50" s="7"/>
      <c r="T50" s="7"/>
      <c r="U50" s="7"/>
      <c r="V50" s="43">
        <v>0</v>
      </c>
      <c r="W50" s="43">
        <v>0</v>
      </c>
      <c r="X50" s="43">
        <v>0</v>
      </c>
    </row>
    <row r="51" spans="15:24">
      <c r="O51" s="63"/>
      <c r="P51" s="27"/>
      <c r="Q51" s="27"/>
      <c r="R51" s="27"/>
      <c r="S51" s="7"/>
      <c r="T51" s="7"/>
      <c r="U51" s="7"/>
      <c r="V51" s="43">
        <v>0</v>
      </c>
      <c r="W51" s="43">
        <v>0</v>
      </c>
      <c r="X51" s="43">
        <v>0</v>
      </c>
    </row>
    <row r="52" spans="15:24">
      <c r="O52" s="63"/>
      <c r="P52" s="27"/>
      <c r="Q52" s="27"/>
      <c r="R52" s="27"/>
      <c r="S52" s="7"/>
      <c r="T52" s="7"/>
      <c r="U52" s="7"/>
      <c r="V52" s="43">
        <v>0</v>
      </c>
      <c r="W52" s="43">
        <v>0</v>
      </c>
      <c r="X52" s="43">
        <v>0</v>
      </c>
    </row>
    <row r="53" spans="15:24">
      <c r="O53" s="63"/>
      <c r="P53" s="27"/>
      <c r="Q53" s="27"/>
      <c r="R53" s="27"/>
      <c r="S53" s="7"/>
      <c r="T53" s="7"/>
      <c r="U53" s="7"/>
      <c r="V53" s="43">
        <v>0</v>
      </c>
      <c r="W53" s="43">
        <v>0</v>
      </c>
      <c r="X53" s="43">
        <v>0</v>
      </c>
    </row>
    <row r="54" spans="15:24">
      <c r="O54" s="63"/>
      <c r="P54" s="27"/>
      <c r="Q54" s="27"/>
      <c r="R54" s="27"/>
      <c r="S54" s="7"/>
      <c r="T54" s="7"/>
      <c r="U54" s="7"/>
      <c r="V54" s="43">
        <v>0</v>
      </c>
      <c r="W54" s="43">
        <v>0</v>
      </c>
      <c r="X54" s="43">
        <v>0</v>
      </c>
    </row>
    <row r="55" spans="15:24">
      <c r="O55" s="63"/>
      <c r="P55" s="27"/>
      <c r="Q55" s="27"/>
      <c r="R55" s="27"/>
      <c r="S55" s="7"/>
      <c r="T55" s="7"/>
      <c r="U55" s="7"/>
      <c r="V55" s="43">
        <v>0</v>
      </c>
      <c r="W55" s="43">
        <v>0</v>
      </c>
      <c r="X55" s="43">
        <v>0</v>
      </c>
    </row>
    <row r="56" spans="15:24">
      <c r="O56" s="63"/>
      <c r="P56" s="27"/>
      <c r="Q56" s="27"/>
      <c r="R56" s="27"/>
      <c r="S56" s="7"/>
      <c r="T56" s="7"/>
      <c r="U56" s="7"/>
      <c r="V56" s="43">
        <v>0</v>
      </c>
      <c r="W56" s="43">
        <v>0</v>
      </c>
      <c r="X56" s="43">
        <v>0</v>
      </c>
    </row>
    <row r="57" spans="15:24">
      <c r="O57" s="63"/>
      <c r="P57" s="27"/>
      <c r="Q57" s="27"/>
      <c r="R57" s="27"/>
      <c r="S57" s="7"/>
      <c r="T57" s="7"/>
      <c r="U57" s="7"/>
      <c r="V57" s="43">
        <v>0</v>
      </c>
      <c r="W57" s="43">
        <v>0</v>
      </c>
      <c r="X57" s="43">
        <v>0</v>
      </c>
    </row>
    <row r="58" spans="15:24">
      <c r="O58" s="63"/>
      <c r="P58" s="27"/>
      <c r="Q58" s="27"/>
      <c r="R58" s="27"/>
      <c r="S58" s="7"/>
      <c r="T58" s="7"/>
      <c r="U58" s="7"/>
      <c r="V58" s="43">
        <v>0</v>
      </c>
      <c r="W58" s="43">
        <v>0</v>
      </c>
      <c r="X58" s="43">
        <v>0</v>
      </c>
    </row>
    <row r="59" spans="15:24">
      <c r="O59" s="63"/>
      <c r="P59" s="27"/>
      <c r="Q59" s="27"/>
      <c r="R59" s="27"/>
      <c r="S59" s="7"/>
      <c r="T59" s="7"/>
      <c r="U59" s="7"/>
      <c r="V59" s="43">
        <v>0</v>
      </c>
      <c r="W59" s="43">
        <v>0</v>
      </c>
      <c r="X59" s="43">
        <v>0</v>
      </c>
    </row>
    <row r="60" spans="15:24">
      <c r="O60" s="63"/>
      <c r="P60" s="27"/>
      <c r="Q60" s="27"/>
      <c r="R60" s="27"/>
      <c r="S60" s="7"/>
      <c r="T60" s="7"/>
      <c r="U60" s="7"/>
      <c r="V60" s="43">
        <v>0</v>
      </c>
      <c r="W60" s="43">
        <v>0</v>
      </c>
      <c r="X60" s="43">
        <v>0</v>
      </c>
    </row>
    <row r="61" spans="15:24">
      <c r="O61" s="63"/>
      <c r="P61" s="27"/>
      <c r="Q61" s="27"/>
      <c r="R61" s="27"/>
      <c r="S61" s="7"/>
      <c r="T61" s="7"/>
      <c r="U61" s="7"/>
      <c r="V61" s="43">
        <v>0</v>
      </c>
      <c r="W61" s="43">
        <v>0</v>
      </c>
      <c r="X61" s="43">
        <v>0</v>
      </c>
    </row>
    <row r="62" spans="15:24">
      <c r="O62" s="63"/>
      <c r="P62" s="27"/>
      <c r="Q62" s="27"/>
      <c r="R62" s="27"/>
      <c r="S62" s="7"/>
      <c r="T62" s="7"/>
      <c r="U62" s="7"/>
      <c r="V62" s="43">
        <v>0</v>
      </c>
      <c r="W62" s="43">
        <v>0</v>
      </c>
      <c r="X62" s="43">
        <v>0</v>
      </c>
    </row>
    <row r="63" spans="15:24">
      <c r="O63" s="63"/>
      <c r="P63" s="27"/>
      <c r="Q63" s="27"/>
      <c r="R63" s="27"/>
      <c r="S63" s="7"/>
      <c r="T63" s="7"/>
      <c r="U63" s="7"/>
      <c r="V63" s="43">
        <v>0</v>
      </c>
      <c r="W63" s="43">
        <v>0</v>
      </c>
      <c r="X63" s="43">
        <v>0</v>
      </c>
    </row>
    <row r="64" spans="15:24">
      <c r="O64" s="63"/>
      <c r="P64" s="27"/>
      <c r="Q64" s="27"/>
      <c r="R64" s="27"/>
      <c r="S64" s="7"/>
      <c r="T64" s="7"/>
      <c r="U64" s="7"/>
      <c r="V64" s="43">
        <v>0</v>
      </c>
      <c r="W64" s="43">
        <v>0</v>
      </c>
      <c r="X64" s="43">
        <v>0</v>
      </c>
    </row>
    <row r="65" spans="15:24">
      <c r="O65" s="63"/>
      <c r="P65" s="27"/>
      <c r="Q65" s="27"/>
      <c r="R65" s="27"/>
      <c r="S65" s="7"/>
      <c r="T65" s="7"/>
      <c r="U65" s="7"/>
      <c r="V65" s="43">
        <v>0</v>
      </c>
      <c r="W65" s="43">
        <v>0</v>
      </c>
      <c r="X65" s="43">
        <v>0</v>
      </c>
    </row>
    <row r="66" spans="15:24">
      <c r="O66" s="63"/>
      <c r="P66" s="27"/>
      <c r="Q66" s="27"/>
      <c r="R66" s="27"/>
      <c r="S66" s="7"/>
      <c r="T66" s="7"/>
      <c r="U66" s="7"/>
      <c r="V66" s="43">
        <v>0</v>
      </c>
      <c r="W66" s="43">
        <v>0</v>
      </c>
      <c r="X66" s="43">
        <v>0</v>
      </c>
    </row>
    <row r="67" spans="15:24">
      <c r="O67" s="63"/>
      <c r="P67" s="27"/>
      <c r="Q67" s="27"/>
      <c r="R67" s="27"/>
      <c r="S67" s="7"/>
      <c r="T67" s="7"/>
      <c r="U67" s="7"/>
      <c r="V67" s="43">
        <v>0</v>
      </c>
      <c r="W67" s="43">
        <v>0</v>
      </c>
      <c r="X67" s="43">
        <v>0</v>
      </c>
    </row>
    <row r="68" spans="15:24">
      <c r="O68" s="63"/>
      <c r="P68" s="27"/>
      <c r="Q68" s="27"/>
      <c r="R68" s="27"/>
      <c r="S68" s="7"/>
      <c r="T68" s="7"/>
      <c r="U68" s="7"/>
      <c r="V68" s="43">
        <v>0</v>
      </c>
      <c r="W68" s="43">
        <v>0</v>
      </c>
      <c r="X68" s="43">
        <v>0</v>
      </c>
    </row>
    <row r="69" spans="15:24">
      <c r="O69" s="63"/>
      <c r="P69" s="27"/>
      <c r="Q69" s="27"/>
      <c r="R69" s="27"/>
      <c r="S69" s="7"/>
      <c r="T69" s="7"/>
      <c r="U69" s="7"/>
      <c r="V69" s="43">
        <v>0</v>
      </c>
      <c r="W69" s="43">
        <v>0</v>
      </c>
      <c r="X69" s="43">
        <v>0</v>
      </c>
    </row>
    <row r="70" spans="15:24">
      <c r="O70" s="63"/>
      <c r="P70" s="27"/>
      <c r="Q70" s="27"/>
      <c r="R70" s="27"/>
      <c r="S70" s="7"/>
      <c r="T70" s="7"/>
      <c r="U70" s="7"/>
      <c r="V70" s="43">
        <v>0</v>
      </c>
      <c r="W70" s="43">
        <v>0</v>
      </c>
      <c r="X70" s="43">
        <v>0</v>
      </c>
    </row>
    <row r="71" spans="15:24">
      <c r="O71" s="63"/>
      <c r="P71" s="27"/>
      <c r="Q71" s="27"/>
      <c r="R71" s="27"/>
      <c r="S71" s="7"/>
      <c r="T71" s="7"/>
      <c r="U71" s="7"/>
      <c r="V71" s="43">
        <v>0</v>
      </c>
      <c r="W71" s="43">
        <v>0</v>
      </c>
      <c r="X71" s="43">
        <v>0</v>
      </c>
    </row>
    <row r="72" spans="15:24">
      <c r="O72" s="63"/>
      <c r="P72" s="27"/>
      <c r="Q72" s="27"/>
      <c r="R72" s="27"/>
      <c r="S72" s="7"/>
      <c r="T72" s="7"/>
      <c r="U72" s="7"/>
      <c r="V72" s="43">
        <v>0</v>
      </c>
      <c r="W72" s="43">
        <v>0</v>
      </c>
      <c r="X72" s="43">
        <v>0</v>
      </c>
    </row>
    <row r="73" spans="15:24">
      <c r="O73" s="63"/>
      <c r="P73" s="27"/>
      <c r="Q73" s="27"/>
      <c r="R73" s="27"/>
      <c r="S73" s="7"/>
      <c r="T73" s="7"/>
      <c r="U73" s="7"/>
      <c r="V73" s="43">
        <v>0</v>
      </c>
      <c r="W73" s="43">
        <v>0</v>
      </c>
      <c r="X73" s="43">
        <v>0</v>
      </c>
    </row>
    <row r="74" spans="15:24">
      <c r="O74" s="63"/>
      <c r="P74" s="27"/>
      <c r="Q74" s="27"/>
      <c r="R74" s="27"/>
      <c r="S74" s="7"/>
      <c r="T74" s="7"/>
      <c r="U74" s="7"/>
      <c r="V74" s="43">
        <v>0</v>
      </c>
      <c r="W74" s="43">
        <v>0</v>
      </c>
      <c r="X74" s="43">
        <v>0</v>
      </c>
    </row>
    <row r="75" spans="15:24">
      <c r="O75" s="63"/>
      <c r="P75" s="27"/>
      <c r="Q75" s="27"/>
      <c r="R75" s="27"/>
      <c r="S75" s="7"/>
      <c r="T75" s="7"/>
      <c r="U75" s="7"/>
      <c r="V75" s="43"/>
      <c r="W75" s="43"/>
      <c r="X75" s="43"/>
    </row>
    <row r="76" spans="15:24">
      <c r="O76" s="63"/>
      <c r="P76" s="27"/>
      <c r="Q76" s="27"/>
      <c r="R76" s="27"/>
      <c r="S76" s="7"/>
      <c r="T76" s="7"/>
      <c r="U76" s="7"/>
      <c r="V76" s="43">
        <v>0</v>
      </c>
      <c r="W76" s="43">
        <v>0</v>
      </c>
      <c r="X76" s="43">
        <v>0</v>
      </c>
    </row>
    <row r="77" spans="15:24">
      <c r="O77" s="63"/>
      <c r="P77" s="27"/>
      <c r="Q77" s="27"/>
      <c r="R77" s="27"/>
      <c r="S77" s="7"/>
      <c r="T77" s="7"/>
      <c r="U77" s="7"/>
      <c r="V77" s="43">
        <v>0</v>
      </c>
      <c r="W77" s="43">
        <v>0</v>
      </c>
      <c r="X77" s="43">
        <v>0</v>
      </c>
    </row>
    <row r="78" spans="15:24">
      <c r="O78" s="63"/>
      <c r="P78" s="27"/>
      <c r="Q78" s="27"/>
      <c r="R78" s="27"/>
      <c r="S78" s="7"/>
      <c r="T78" s="7"/>
      <c r="U78" s="7"/>
      <c r="V78" s="43">
        <v>0</v>
      </c>
      <c r="W78" s="43">
        <v>0</v>
      </c>
      <c r="X78" s="43">
        <v>0</v>
      </c>
    </row>
    <row r="79" spans="15:24">
      <c r="O79" s="63"/>
      <c r="P79" s="27"/>
      <c r="Q79" s="27"/>
      <c r="R79" s="27"/>
      <c r="S79" s="7"/>
      <c r="T79" s="7"/>
      <c r="U79" s="7"/>
      <c r="V79" s="43">
        <v>0</v>
      </c>
      <c r="W79" s="43">
        <v>0</v>
      </c>
      <c r="X79" s="43">
        <v>0</v>
      </c>
    </row>
    <row r="80" spans="15:24">
      <c r="O80" s="63"/>
      <c r="P80" s="27"/>
      <c r="Q80" s="27"/>
      <c r="R80" s="27"/>
      <c r="S80" s="7"/>
      <c r="T80" s="7"/>
      <c r="U80" s="7"/>
      <c r="V80" s="43">
        <v>0</v>
      </c>
      <c r="W80" s="43">
        <v>0</v>
      </c>
      <c r="X80" s="43">
        <v>0</v>
      </c>
    </row>
    <row r="81" spans="15:24">
      <c r="O81" s="63"/>
      <c r="P81" s="27"/>
      <c r="Q81" s="27"/>
      <c r="R81" s="27"/>
      <c r="S81" s="7"/>
      <c r="T81" s="7"/>
      <c r="U81" s="7"/>
      <c r="V81" s="43">
        <v>0</v>
      </c>
      <c r="W81" s="43">
        <v>0</v>
      </c>
      <c r="X81" s="43">
        <v>0</v>
      </c>
    </row>
    <row r="82" spans="15:24">
      <c r="O82" s="63"/>
      <c r="P82" s="27"/>
      <c r="Q82" s="27"/>
      <c r="R82" s="27"/>
      <c r="S82" s="7"/>
      <c r="T82" s="7"/>
      <c r="U82" s="7"/>
      <c r="V82" s="43">
        <v>0</v>
      </c>
      <c r="W82" s="43">
        <v>0</v>
      </c>
      <c r="X82" s="43">
        <v>0</v>
      </c>
    </row>
    <row r="83" spans="15:24">
      <c r="O83" s="63"/>
      <c r="P83" s="27"/>
      <c r="Q83" s="27"/>
      <c r="R83" s="27"/>
      <c r="S83" s="7"/>
      <c r="T83" s="7"/>
      <c r="U83" s="7"/>
      <c r="V83" s="43">
        <v>0</v>
      </c>
      <c r="W83" s="43">
        <v>0</v>
      </c>
      <c r="X83" s="43">
        <v>0</v>
      </c>
    </row>
    <row r="84" spans="15:24">
      <c r="O84" s="63"/>
      <c r="P84" s="27"/>
      <c r="Q84" s="27"/>
      <c r="R84" s="27"/>
      <c r="S84" s="7"/>
      <c r="T84" s="7"/>
      <c r="U84" s="7"/>
      <c r="V84" s="43">
        <v>0</v>
      </c>
      <c r="W84" s="43">
        <v>0</v>
      </c>
      <c r="X84" s="43">
        <v>0</v>
      </c>
    </row>
    <row r="85" spans="15:24">
      <c r="O85" s="63"/>
      <c r="P85" s="27"/>
      <c r="Q85" s="27"/>
      <c r="R85" s="27"/>
      <c r="S85" s="7"/>
      <c r="T85" s="7"/>
      <c r="U85" s="7"/>
      <c r="V85" s="43">
        <v>0</v>
      </c>
      <c r="W85" s="43">
        <v>0</v>
      </c>
      <c r="X85" s="43">
        <v>0</v>
      </c>
    </row>
    <row r="86" spans="15:24">
      <c r="O86" s="63"/>
      <c r="P86" s="27"/>
      <c r="Q86" s="27"/>
      <c r="R86" s="27"/>
      <c r="S86" s="7"/>
      <c r="T86" s="7"/>
      <c r="U86" s="7"/>
      <c r="V86" s="43">
        <v>0</v>
      </c>
      <c r="W86" s="43">
        <v>0</v>
      </c>
      <c r="X86" s="43">
        <v>0</v>
      </c>
    </row>
    <row r="87" spans="15:24">
      <c r="O87" s="63"/>
      <c r="P87" s="27"/>
      <c r="Q87" s="27"/>
      <c r="R87" s="27"/>
      <c r="S87" s="7"/>
      <c r="T87" s="7"/>
      <c r="U87" s="7"/>
      <c r="V87" s="43">
        <v>0</v>
      </c>
      <c r="W87" s="43">
        <v>0</v>
      </c>
      <c r="X87" s="43">
        <v>0</v>
      </c>
    </row>
    <row r="88" spans="15:24">
      <c r="O88" s="63"/>
      <c r="P88" s="27"/>
      <c r="Q88" s="27"/>
      <c r="R88" s="27"/>
      <c r="S88" s="7"/>
      <c r="T88" s="7"/>
      <c r="U88" s="7"/>
      <c r="V88" s="43">
        <v>0</v>
      </c>
      <c r="W88" s="43">
        <v>0</v>
      </c>
      <c r="X88" s="43">
        <v>0</v>
      </c>
    </row>
    <row r="89" spans="15:24">
      <c r="O89" s="63"/>
      <c r="P89" s="27"/>
      <c r="Q89" s="27"/>
      <c r="R89" s="27"/>
      <c r="S89" s="7"/>
      <c r="T89" s="7"/>
      <c r="U89" s="7"/>
      <c r="V89" s="43">
        <v>0</v>
      </c>
      <c r="W89" s="43">
        <v>0</v>
      </c>
      <c r="X89" s="43">
        <v>0</v>
      </c>
    </row>
    <row r="90" spans="15:24">
      <c r="O90" s="63"/>
      <c r="P90" s="27"/>
      <c r="Q90" s="27"/>
      <c r="R90" s="27"/>
      <c r="S90" s="7"/>
      <c r="T90" s="7"/>
      <c r="U90" s="7"/>
      <c r="V90" s="43">
        <v>0</v>
      </c>
      <c r="W90" s="43">
        <v>0</v>
      </c>
      <c r="X90" s="43">
        <v>0</v>
      </c>
    </row>
    <row r="91" spans="15:24">
      <c r="O91" s="63"/>
      <c r="P91" s="27"/>
      <c r="Q91" s="27"/>
      <c r="R91" s="27"/>
      <c r="S91" s="7"/>
      <c r="T91" s="7"/>
      <c r="U91" s="7"/>
      <c r="V91" s="43">
        <v>0</v>
      </c>
      <c r="W91" s="43">
        <v>0</v>
      </c>
      <c r="X91" s="43">
        <v>0</v>
      </c>
    </row>
    <row r="92" spans="15:24">
      <c r="O92" s="63"/>
      <c r="P92" s="27"/>
      <c r="Q92" s="27"/>
      <c r="R92" s="27"/>
      <c r="S92" s="7"/>
      <c r="T92" s="7"/>
      <c r="U92" s="7"/>
      <c r="V92" s="43">
        <v>0</v>
      </c>
      <c r="W92" s="43">
        <v>0</v>
      </c>
      <c r="X92" s="43">
        <v>0</v>
      </c>
    </row>
    <row r="93" spans="15:24">
      <c r="O93" s="63"/>
      <c r="P93" s="27"/>
      <c r="Q93" s="27"/>
      <c r="R93" s="27"/>
      <c r="S93" s="7"/>
      <c r="T93" s="7"/>
      <c r="U93" s="7"/>
      <c r="V93" s="43">
        <v>0</v>
      </c>
      <c r="W93" s="43">
        <v>0</v>
      </c>
      <c r="X93" s="43">
        <v>0</v>
      </c>
    </row>
    <row r="94" spans="15:24">
      <c r="O94" s="63"/>
      <c r="P94" s="27"/>
      <c r="Q94" s="27"/>
      <c r="R94" s="27"/>
      <c r="S94" s="7"/>
      <c r="T94" s="7"/>
      <c r="U94" s="7"/>
      <c r="V94" s="43">
        <v>0</v>
      </c>
      <c r="W94" s="43">
        <v>0</v>
      </c>
      <c r="X94" s="43">
        <v>0</v>
      </c>
    </row>
    <row r="95" spans="15:24">
      <c r="O95" s="63"/>
      <c r="P95" s="27"/>
      <c r="Q95" s="27"/>
      <c r="R95" s="27"/>
      <c r="S95" s="7"/>
      <c r="T95" s="7"/>
      <c r="U95" s="7"/>
      <c r="V95" s="43">
        <v>0</v>
      </c>
      <c r="W95" s="43">
        <v>0</v>
      </c>
      <c r="X95" s="43">
        <v>0</v>
      </c>
    </row>
    <row r="96" spans="15:24">
      <c r="O96" s="63"/>
      <c r="P96" s="27"/>
      <c r="Q96" s="27"/>
      <c r="R96" s="27"/>
      <c r="S96" s="7"/>
      <c r="T96" s="7"/>
      <c r="U96" s="7"/>
      <c r="V96" s="43">
        <v>0</v>
      </c>
      <c r="W96" s="43">
        <v>0</v>
      </c>
      <c r="X96" s="43">
        <v>0</v>
      </c>
    </row>
    <row r="97" spans="15:24">
      <c r="O97" s="63"/>
      <c r="P97" s="27"/>
      <c r="Q97" s="27"/>
      <c r="R97" s="27"/>
      <c r="S97" s="7"/>
      <c r="T97" s="7"/>
      <c r="U97" s="7"/>
      <c r="V97" s="43">
        <v>0</v>
      </c>
      <c r="W97" s="43">
        <v>0</v>
      </c>
      <c r="X97" s="43">
        <v>0</v>
      </c>
    </row>
    <row r="98" spans="15:24">
      <c r="O98" s="63"/>
      <c r="P98" s="27"/>
      <c r="Q98" s="27"/>
      <c r="R98" s="27"/>
      <c r="S98" s="7"/>
      <c r="T98" s="7"/>
      <c r="U98" s="7"/>
      <c r="V98" s="43">
        <v>0</v>
      </c>
      <c r="W98" s="43">
        <v>0</v>
      </c>
      <c r="X98" s="43">
        <v>0</v>
      </c>
    </row>
    <row r="99" spans="15:24">
      <c r="O99" s="63"/>
      <c r="P99" s="27"/>
      <c r="Q99" s="27"/>
      <c r="R99" s="27"/>
      <c r="S99" s="7"/>
      <c r="T99" s="7"/>
      <c r="U99" s="7"/>
      <c r="V99" s="43">
        <v>0</v>
      </c>
      <c r="W99" s="43">
        <v>0</v>
      </c>
      <c r="X99" s="43">
        <v>0</v>
      </c>
    </row>
    <row r="100" spans="15:24">
      <c r="O100" s="63"/>
      <c r="P100" s="27"/>
      <c r="Q100" s="27"/>
      <c r="R100" s="27"/>
      <c r="S100" s="7"/>
      <c r="T100" s="7"/>
      <c r="U100" s="7"/>
      <c r="V100" s="43">
        <v>0</v>
      </c>
      <c r="W100" s="43">
        <v>0</v>
      </c>
      <c r="X100" s="43">
        <v>0</v>
      </c>
    </row>
    <row r="101" spans="15:24">
      <c r="O101" s="63"/>
      <c r="P101" s="27"/>
      <c r="Q101" s="27"/>
      <c r="R101" s="27"/>
      <c r="S101" s="7"/>
      <c r="T101" s="7"/>
      <c r="U101" s="7"/>
      <c r="V101" s="43">
        <v>0</v>
      </c>
      <c r="W101" s="43">
        <v>0</v>
      </c>
      <c r="X101" s="43">
        <v>0</v>
      </c>
    </row>
    <row r="102" spans="15:24">
      <c r="O102" s="63"/>
      <c r="P102" s="27"/>
      <c r="Q102" s="27"/>
      <c r="R102" s="27"/>
      <c r="S102" s="7"/>
      <c r="T102" s="7"/>
      <c r="U102" s="7"/>
      <c r="V102" s="43">
        <v>0</v>
      </c>
      <c r="W102" s="43">
        <v>0</v>
      </c>
      <c r="X102" s="43">
        <v>0</v>
      </c>
    </row>
    <row r="103" spans="15:24">
      <c r="O103" s="63"/>
      <c r="P103" s="27"/>
      <c r="Q103" s="27"/>
      <c r="R103" s="27"/>
      <c r="S103" s="7"/>
      <c r="T103" s="7"/>
      <c r="U103" s="7"/>
      <c r="V103" s="43">
        <v>0</v>
      </c>
      <c r="W103" s="43">
        <v>0</v>
      </c>
      <c r="X103" s="43">
        <v>0</v>
      </c>
    </row>
    <row r="104" spans="15:24">
      <c r="O104" s="63"/>
      <c r="P104" s="27"/>
      <c r="Q104" s="27"/>
      <c r="R104" s="27"/>
      <c r="S104" s="7"/>
      <c r="T104" s="7"/>
      <c r="U104" s="7"/>
      <c r="V104" s="43">
        <v>0</v>
      </c>
      <c r="W104" s="43">
        <v>0</v>
      </c>
      <c r="X104" s="43">
        <v>0</v>
      </c>
    </row>
    <row r="105" spans="15:24">
      <c r="O105" s="63"/>
      <c r="P105" s="27"/>
      <c r="Q105" s="27"/>
      <c r="R105" s="27"/>
      <c r="S105" s="7"/>
      <c r="T105" s="7"/>
      <c r="U105" s="7"/>
      <c r="V105" s="43">
        <v>0</v>
      </c>
      <c r="W105" s="43">
        <v>0</v>
      </c>
      <c r="X105" s="43">
        <v>0</v>
      </c>
    </row>
    <row r="106" spans="15:24">
      <c r="O106" s="63"/>
      <c r="P106" s="27"/>
      <c r="Q106" s="27"/>
      <c r="R106" s="27"/>
      <c r="S106" s="7"/>
      <c r="T106" s="7"/>
      <c r="U106" s="7"/>
      <c r="V106" s="43">
        <v>0</v>
      </c>
      <c r="W106" s="43">
        <v>0</v>
      </c>
      <c r="X106" s="43">
        <v>0</v>
      </c>
    </row>
    <row r="107" spans="15:24">
      <c r="O107" s="63"/>
      <c r="P107" s="27"/>
      <c r="Q107" s="27"/>
      <c r="R107" s="27"/>
      <c r="S107" s="7"/>
      <c r="T107" s="7"/>
      <c r="U107" s="7"/>
      <c r="V107" s="43">
        <v>0</v>
      </c>
      <c r="W107" s="43">
        <v>0</v>
      </c>
      <c r="X107" s="43">
        <v>0</v>
      </c>
    </row>
    <row r="108" spans="15:24">
      <c r="O108" s="63"/>
      <c r="P108" s="27"/>
      <c r="Q108" s="27"/>
      <c r="R108" s="27"/>
      <c r="S108" s="7"/>
      <c r="T108" s="7"/>
      <c r="U108" s="7"/>
      <c r="V108" s="43">
        <v>0</v>
      </c>
      <c r="W108" s="43">
        <v>0</v>
      </c>
      <c r="X108" s="43">
        <v>0</v>
      </c>
    </row>
    <row r="109" spans="15:24">
      <c r="O109" s="63"/>
      <c r="P109" s="27"/>
      <c r="Q109" s="27"/>
      <c r="R109" s="27"/>
      <c r="S109" s="7"/>
      <c r="T109" s="7"/>
      <c r="U109" s="7"/>
      <c r="V109" s="43">
        <v>0</v>
      </c>
      <c r="W109" s="43">
        <v>0</v>
      </c>
      <c r="X109" s="43">
        <v>0</v>
      </c>
    </row>
    <row r="110" spans="15:24">
      <c r="O110" s="63"/>
      <c r="P110" s="27"/>
      <c r="Q110" s="27"/>
      <c r="R110" s="27"/>
      <c r="S110" s="7"/>
      <c r="T110" s="7"/>
      <c r="U110" s="7"/>
      <c r="V110" s="43">
        <v>0</v>
      </c>
      <c r="W110" s="43">
        <v>0</v>
      </c>
      <c r="X110" s="43">
        <v>0</v>
      </c>
    </row>
    <row r="111" spans="15:24">
      <c r="O111" s="63"/>
      <c r="P111" s="27"/>
      <c r="Q111" s="27"/>
      <c r="R111" s="27"/>
      <c r="S111" s="7"/>
      <c r="T111" s="7"/>
      <c r="U111" s="7"/>
      <c r="V111" s="43">
        <v>0</v>
      </c>
      <c r="W111" s="43">
        <v>0</v>
      </c>
      <c r="X111" s="43">
        <v>0</v>
      </c>
    </row>
    <row r="112" spans="15:24">
      <c r="O112" s="63"/>
      <c r="P112" s="27"/>
      <c r="Q112" s="27"/>
      <c r="R112" s="27"/>
      <c r="S112" s="7"/>
      <c r="T112" s="7"/>
      <c r="U112" s="7"/>
      <c r="V112" s="43">
        <v>0</v>
      </c>
      <c r="W112" s="43">
        <v>0</v>
      </c>
      <c r="X112" s="43">
        <v>0</v>
      </c>
    </row>
    <row r="113" spans="15:24">
      <c r="O113" s="63"/>
      <c r="P113" s="27"/>
      <c r="Q113" s="27"/>
      <c r="R113" s="27"/>
      <c r="S113" s="7"/>
      <c r="T113" s="7"/>
      <c r="U113" s="7"/>
      <c r="V113" s="43">
        <v>0</v>
      </c>
      <c r="W113" s="43">
        <v>0</v>
      </c>
      <c r="X113" s="43">
        <v>0</v>
      </c>
    </row>
    <row r="114" spans="15:24">
      <c r="O114" s="63"/>
      <c r="P114" s="27"/>
      <c r="Q114" s="27"/>
      <c r="R114" s="27"/>
      <c r="S114" s="7"/>
      <c r="T114" s="7"/>
      <c r="U114" s="7"/>
      <c r="V114" s="43">
        <v>0</v>
      </c>
      <c r="W114" s="43">
        <v>0</v>
      </c>
      <c r="X114" s="43">
        <v>0</v>
      </c>
    </row>
    <row r="115" spans="15:24">
      <c r="O115" s="63"/>
      <c r="P115" s="27"/>
      <c r="Q115" s="27"/>
      <c r="R115" s="27"/>
      <c r="S115" s="7"/>
      <c r="T115" s="7"/>
      <c r="U115" s="7"/>
      <c r="V115" s="43">
        <v>0</v>
      </c>
      <c r="W115" s="43">
        <v>0</v>
      </c>
      <c r="X115" s="43">
        <v>0</v>
      </c>
    </row>
    <row r="116" spans="15:24">
      <c r="O116" s="63"/>
      <c r="P116" s="27"/>
      <c r="Q116" s="27"/>
      <c r="R116" s="27"/>
      <c r="S116" s="7"/>
      <c r="T116" s="7"/>
      <c r="U116" s="7"/>
      <c r="V116" s="43">
        <v>0</v>
      </c>
      <c r="W116" s="43">
        <v>0</v>
      </c>
      <c r="X116" s="43">
        <v>0</v>
      </c>
    </row>
    <row r="117" spans="15:24">
      <c r="O117" s="63"/>
      <c r="P117" s="27"/>
      <c r="Q117" s="27"/>
      <c r="R117" s="27"/>
      <c r="S117" s="7"/>
      <c r="T117" s="7"/>
      <c r="U117" s="7"/>
      <c r="V117" s="43">
        <v>0</v>
      </c>
      <c r="W117" s="43">
        <v>0</v>
      </c>
      <c r="X117" s="43">
        <v>0</v>
      </c>
    </row>
    <row r="118" spans="15:24">
      <c r="O118" s="63"/>
      <c r="P118" s="27"/>
      <c r="Q118" s="27"/>
      <c r="R118" s="27"/>
      <c r="S118" s="7"/>
      <c r="T118" s="7"/>
      <c r="U118" s="7"/>
      <c r="V118" s="43">
        <v>0</v>
      </c>
      <c r="W118" s="43">
        <v>0</v>
      </c>
      <c r="X118" s="43">
        <v>0</v>
      </c>
    </row>
    <row r="119" spans="15:24">
      <c r="O119" s="63"/>
      <c r="P119" s="27"/>
      <c r="Q119" s="27"/>
      <c r="R119" s="27"/>
      <c r="S119" s="7"/>
      <c r="T119" s="7"/>
      <c r="U119" s="7"/>
      <c r="V119" s="43">
        <v>0</v>
      </c>
      <c r="W119" s="43">
        <v>0</v>
      </c>
      <c r="X119" s="43">
        <v>0</v>
      </c>
    </row>
    <row r="120" spans="15:24">
      <c r="O120" s="63"/>
      <c r="P120" s="27"/>
      <c r="Q120" s="27"/>
      <c r="R120" s="27"/>
      <c r="S120" s="7"/>
      <c r="T120" s="7"/>
      <c r="U120" s="7"/>
      <c r="V120" s="43">
        <v>0</v>
      </c>
      <c r="W120" s="43">
        <v>0</v>
      </c>
      <c r="X120" s="43">
        <v>0</v>
      </c>
    </row>
    <row r="121" spans="15:24">
      <c r="O121" s="63"/>
      <c r="P121" s="27"/>
      <c r="Q121" s="27"/>
      <c r="R121" s="27"/>
      <c r="S121" s="7"/>
      <c r="T121" s="7"/>
      <c r="U121" s="7"/>
      <c r="V121" s="43">
        <v>0</v>
      </c>
      <c r="W121" s="43">
        <v>0</v>
      </c>
      <c r="X121" s="43">
        <v>0</v>
      </c>
    </row>
    <row r="122" spans="15:24">
      <c r="O122" s="63"/>
      <c r="P122" s="27"/>
      <c r="Q122" s="27"/>
      <c r="R122" s="27"/>
      <c r="S122" s="7"/>
      <c r="T122" s="7"/>
      <c r="U122" s="7"/>
      <c r="V122" s="43">
        <v>0</v>
      </c>
      <c r="W122" s="43">
        <v>0</v>
      </c>
      <c r="X122" s="43">
        <v>0</v>
      </c>
    </row>
    <row r="123" spans="15:24">
      <c r="O123" s="63"/>
      <c r="P123" s="27"/>
      <c r="Q123" s="27"/>
      <c r="R123" s="27"/>
      <c r="S123" s="7"/>
      <c r="T123" s="7"/>
      <c r="U123" s="7"/>
      <c r="V123" s="43">
        <v>0</v>
      </c>
      <c r="W123" s="43">
        <v>0</v>
      </c>
      <c r="X123" s="43">
        <v>0</v>
      </c>
    </row>
    <row r="124" spans="15:24">
      <c r="O124" s="63"/>
      <c r="P124" s="27"/>
      <c r="Q124" s="27"/>
      <c r="R124" s="27"/>
      <c r="S124" s="7"/>
      <c r="T124" s="7"/>
      <c r="U124" s="7"/>
      <c r="V124" s="43">
        <v>0</v>
      </c>
      <c r="W124" s="43">
        <v>0</v>
      </c>
      <c r="X124" s="43">
        <v>0</v>
      </c>
    </row>
    <row r="125" spans="15:24">
      <c r="O125" s="63"/>
      <c r="P125" s="27"/>
      <c r="Q125" s="27"/>
      <c r="R125" s="27"/>
      <c r="S125" s="7"/>
      <c r="T125" s="7"/>
      <c r="U125" s="7"/>
      <c r="V125" s="43">
        <v>0</v>
      </c>
      <c r="W125" s="43">
        <v>0</v>
      </c>
      <c r="X125" s="43">
        <v>0</v>
      </c>
    </row>
    <row r="126" spans="15:24">
      <c r="O126" s="63"/>
      <c r="P126" s="27"/>
      <c r="Q126" s="27"/>
      <c r="R126" s="27"/>
      <c r="S126" s="7"/>
      <c r="T126" s="7"/>
      <c r="U126" s="7"/>
      <c r="V126" s="43">
        <v>0</v>
      </c>
      <c r="W126" s="43">
        <v>0</v>
      </c>
      <c r="X126" s="43">
        <v>0</v>
      </c>
    </row>
    <row r="127" spans="15:24">
      <c r="O127" s="63"/>
      <c r="P127" s="27"/>
      <c r="Q127" s="27"/>
      <c r="R127" s="27"/>
      <c r="S127" s="7"/>
      <c r="T127" s="7"/>
      <c r="U127" s="7"/>
      <c r="V127" s="43">
        <v>0</v>
      </c>
      <c r="W127" s="43">
        <v>0</v>
      </c>
      <c r="X127" s="43">
        <v>0</v>
      </c>
    </row>
    <row r="128" spans="15:24">
      <c r="O128" s="63"/>
      <c r="P128" s="27"/>
      <c r="Q128" s="27"/>
      <c r="R128" s="27"/>
      <c r="S128" s="7"/>
      <c r="T128" s="7"/>
      <c r="U128" s="7"/>
      <c r="V128" s="43">
        <v>0</v>
      </c>
      <c r="W128" s="43">
        <v>0</v>
      </c>
      <c r="X128" s="43">
        <v>0</v>
      </c>
    </row>
    <row r="129" spans="15:24">
      <c r="O129" s="63"/>
      <c r="P129" s="27"/>
      <c r="Q129" s="27"/>
      <c r="R129" s="27"/>
      <c r="S129" s="7"/>
      <c r="T129" s="7"/>
      <c r="U129" s="7"/>
      <c r="V129" s="43">
        <v>0</v>
      </c>
      <c r="W129" s="43">
        <v>0</v>
      </c>
      <c r="X129" s="43">
        <v>0</v>
      </c>
    </row>
    <row r="130" spans="15:24">
      <c r="R130" s="27"/>
      <c r="S130" s="7"/>
      <c r="T130" s="7"/>
      <c r="U130" s="7"/>
      <c r="V130" s="43">
        <v>0</v>
      </c>
      <c r="W130" s="43">
        <v>0</v>
      </c>
      <c r="X130" s="43">
        <v>0</v>
      </c>
    </row>
    <row r="131" spans="15:24">
      <c r="R131" s="27"/>
      <c r="S131" s="7"/>
      <c r="T131" s="7"/>
      <c r="U131" s="7"/>
      <c r="V131" s="43">
        <v>0</v>
      </c>
      <c r="W131" s="43">
        <v>0</v>
      </c>
      <c r="X131" s="43">
        <v>0</v>
      </c>
    </row>
    <row r="132" spans="15:24">
      <c r="R132" s="27"/>
      <c r="S132" s="7"/>
      <c r="T132" s="7"/>
      <c r="U132" s="7"/>
      <c r="V132" s="43">
        <v>0</v>
      </c>
      <c r="W132" s="43">
        <v>0</v>
      </c>
      <c r="X132" s="43">
        <v>0</v>
      </c>
    </row>
    <row r="133" spans="15:24">
      <c r="Q133" s="6"/>
      <c r="R133" s="27"/>
      <c r="S133" s="7"/>
      <c r="T133" s="7"/>
      <c r="U133" s="7"/>
      <c r="V133" s="43">
        <v>0</v>
      </c>
      <c r="W133" s="43">
        <v>0</v>
      </c>
      <c r="X133" s="43">
        <v>0</v>
      </c>
    </row>
    <row r="134" spans="15:24">
      <c r="R134" s="27"/>
      <c r="S134" s="7"/>
      <c r="T134" s="7"/>
      <c r="U134" s="7"/>
      <c r="V134" s="43">
        <v>0</v>
      </c>
      <c r="W134" s="43">
        <v>0</v>
      </c>
      <c r="X134" s="43">
        <v>0</v>
      </c>
    </row>
    <row r="135" spans="15:24">
      <c r="R135" s="27"/>
      <c r="S135" s="7"/>
      <c r="T135" s="7"/>
      <c r="U135" s="7"/>
      <c r="V135" s="43">
        <v>0</v>
      </c>
      <c r="W135" s="43">
        <v>0</v>
      </c>
      <c r="X135" s="43">
        <v>0</v>
      </c>
    </row>
    <row r="136" spans="15:24">
      <c r="R136" s="27"/>
      <c r="S136" s="7"/>
      <c r="T136" s="7"/>
      <c r="U136" s="7"/>
      <c r="V136" s="43">
        <v>0</v>
      </c>
      <c r="W136" s="43">
        <v>0</v>
      </c>
      <c r="X136" s="43">
        <v>0</v>
      </c>
    </row>
    <row r="137" spans="15:24">
      <c r="R137" s="27"/>
      <c r="S137" s="7"/>
      <c r="T137" s="7"/>
      <c r="U137" s="7"/>
      <c r="V137" s="43">
        <v>0</v>
      </c>
      <c r="W137" s="43">
        <v>0</v>
      </c>
      <c r="X137" s="43">
        <v>0</v>
      </c>
    </row>
    <row r="138" spans="15:24">
      <c r="R138" s="27"/>
      <c r="S138" s="7"/>
      <c r="T138" s="7"/>
      <c r="U138" s="7"/>
      <c r="V138" s="43">
        <v>0</v>
      </c>
      <c r="W138" s="43">
        <v>0</v>
      </c>
      <c r="X138" s="43">
        <v>0</v>
      </c>
    </row>
    <row r="139" spans="15:24">
      <c r="R139" s="27"/>
      <c r="S139" s="7"/>
      <c r="T139" s="7"/>
      <c r="U139" s="7"/>
      <c r="V139" s="43">
        <v>0</v>
      </c>
      <c r="W139" s="43">
        <v>0</v>
      </c>
      <c r="X139" s="43">
        <v>0</v>
      </c>
    </row>
    <row r="140" spans="15:24">
      <c r="R140" s="27"/>
      <c r="S140" s="7"/>
      <c r="T140" s="7"/>
      <c r="U140" s="7"/>
      <c r="V140" s="43">
        <v>0</v>
      </c>
      <c r="W140" s="43">
        <v>0</v>
      </c>
      <c r="X140" s="43">
        <v>0</v>
      </c>
    </row>
    <row r="141" spans="15:24">
      <c r="R141" s="27"/>
      <c r="S141" s="7"/>
      <c r="T141" s="7"/>
      <c r="U141" s="7"/>
      <c r="V141" s="43">
        <v>0</v>
      </c>
      <c r="W141" s="43">
        <v>0</v>
      </c>
      <c r="X141" s="43">
        <v>0</v>
      </c>
    </row>
    <row r="142" spans="15:24">
      <c r="R142" s="27"/>
      <c r="S142" s="7"/>
      <c r="T142" s="7"/>
      <c r="U142" s="7"/>
      <c r="V142" s="43">
        <v>0</v>
      </c>
      <c r="W142" s="43">
        <v>0</v>
      </c>
      <c r="X142" s="43">
        <v>0</v>
      </c>
    </row>
    <row r="143" spans="15:24">
      <c r="R143" s="27"/>
      <c r="S143" s="7"/>
      <c r="T143" s="7"/>
      <c r="U143" s="7"/>
      <c r="V143" s="43">
        <v>0</v>
      </c>
      <c r="W143" s="43">
        <v>0</v>
      </c>
      <c r="X143" s="43">
        <v>0</v>
      </c>
    </row>
    <row r="144" spans="15:24">
      <c r="R144" s="27"/>
      <c r="S144" s="7"/>
      <c r="T144" s="7"/>
      <c r="U144" s="7"/>
      <c r="V144" s="43">
        <v>0</v>
      </c>
      <c r="W144" s="43">
        <v>0</v>
      </c>
      <c r="X144" s="43">
        <v>0</v>
      </c>
    </row>
    <row r="145" spans="18:24">
      <c r="R145" s="27"/>
      <c r="S145" s="7"/>
      <c r="T145" s="7"/>
      <c r="U145" s="7"/>
      <c r="V145" s="43">
        <v>0</v>
      </c>
      <c r="W145" s="43">
        <v>0</v>
      </c>
      <c r="X145" s="43">
        <v>0</v>
      </c>
    </row>
    <row r="146" spans="18:24">
      <c r="R146" s="27"/>
      <c r="S146" s="7"/>
      <c r="T146" s="7"/>
      <c r="U146" s="7"/>
      <c r="V146" s="43">
        <v>0</v>
      </c>
      <c r="W146" s="43">
        <v>0</v>
      </c>
      <c r="X146" s="43">
        <v>0</v>
      </c>
    </row>
    <row r="147" spans="18:24">
      <c r="R147" s="27"/>
      <c r="S147" s="7"/>
      <c r="T147" s="7"/>
      <c r="U147" s="7"/>
      <c r="V147" s="43">
        <v>0</v>
      </c>
      <c r="W147" s="43">
        <v>0</v>
      </c>
      <c r="X147" s="43">
        <v>0</v>
      </c>
    </row>
    <row r="148" spans="18:24">
      <c r="R148" s="27"/>
      <c r="S148" s="7"/>
      <c r="T148" s="7"/>
      <c r="U148" s="7"/>
      <c r="V148" s="43">
        <v>0</v>
      </c>
      <c r="W148" s="43">
        <v>0</v>
      </c>
      <c r="X148" s="43">
        <v>0</v>
      </c>
    </row>
    <row r="149" spans="18:24">
      <c r="R149" s="27"/>
      <c r="S149" s="7"/>
      <c r="T149" s="7"/>
      <c r="U149" s="7"/>
      <c r="V149" s="43">
        <v>0</v>
      </c>
      <c r="W149" s="43">
        <v>0</v>
      </c>
      <c r="X149" s="43">
        <v>0</v>
      </c>
    </row>
    <row r="150" spans="18:24">
      <c r="R150" s="27"/>
      <c r="S150" s="7"/>
      <c r="T150" s="7"/>
      <c r="U150" s="7"/>
      <c r="V150" s="43">
        <v>0</v>
      </c>
      <c r="W150" s="43">
        <v>0</v>
      </c>
      <c r="X150" s="43">
        <v>0</v>
      </c>
    </row>
    <row r="151" spans="18:24">
      <c r="R151" s="27"/>
      <c r="S151" s="7"/>
      <c r="T151" s="7"/>
      <c r="U151" s="7"/>
      <c r="V151" s="43">
        <v>0</v>
      </c>
      <c r="W151" s="43">
        <v>0</v>
      </c>
      <c r="X151" s="43">
        <v>0</v>
      </c>
    </row>
    <row r="152" spans="18:24">
      <c r="R152" s="27"/>
      <c r="S152" s="7"/>
      <c r="T152" s="7"/>
      <c r="U152" s="7"/>
      <c r="V152" s="43">
        <v>0</v>
      </c>
      <c r="W152" s="43">
        <v>0</v>
      </c>
      <c r="X152" s="43">
        <v>0</v>
      </c>
    </row>
    <row r="153" spans="18:24">
      <c r="R153" s="27"/>
      <c r="S153" s="7"/>
      <c r="T153" s="7"/>
      <c r="U153" s="7"/>
      <c r="V153" s="43">
        <v>0</v>
      </c>
      <c r="W153" s="43">
        <v>0</v>
      </c>
      <c r="X153" s="43">
        <v>0</v>
      </c>
    </row>
    <row r="154" spans="18:24">
      <c r="R154" s="27"/>
      <c r="S154" s="7"/>
      <c r="T154" s="7"/>
      <c r="U154" s="7"/>
      <c r="V154" s="43">
        <v>0</v>
      </c>
      <c r="W154" s="43">
        <v>0</v>
      </c>
      <c r="X154" s="43">
        <v>0</v>
      </c>
    </row>
    <row r="155" spans="18:24">
      <c r="R155" s="27"/>
      <c r="S155" s="7"/>
      <c r="T155" s="7"/>
      <c r="U155" s="7"/>
      <c r="V155" s="43">
        <v>0</v>
      </c>
      <c r="W155" s="43">
        <v>0</v>
      </c>
      <c r="X155" s="43">
        <v>0</v>
      </c>
    </row>
    <row r="156" spans="18:24">
      <c r="R156" s="27"/>
      <c r="S156" s="7"/>
      <c r="T156" s="7"/>
      <c r="U156" s="7"/>
      <c r="V156" s="43">
        <v>0</v>
      </c>
      <c r="W156" s="43">
        <v>0</v>
      </c>
      <c r="X156" s="43">
        <v>0</v>
      </c>
    </row>
    <row r="157" spans="18:24">
      <c r="R157" s="27"/>
      <c r="S157" s="7"/>
      <c r="T157" s="7"/>
      <c r="U157" s="7"/>
      <c r="V157" s="43">
        <v>0</v>
      </c>
      <c r="W157" s="43">
        <v>0</v>
      </c>
      <c r="X157" s="43">
        <v>0</v>
      </c>
    </row>
    <row r="158" spans="18:24">
      <c r="R158" s="27"/>
      <c r="S158" s="7"/>
      <c r="T158" s="7"/>
      <c r="U158" s="7"/>
      <c r="V158" s="43">
        <v>0</v>
      </c>
      <c r="W158" s="43">
        <v>0</v>
      </c>
      <c r="X158" s="43">
        <v>0</v>
      </c>
    </row>
    <row r="159" spans="18:24">
      <c r="R159" s="27"/>
      <c r="S159" s="7"/>
      <c r="T159" s="7"/>
      <c r="U159" s="7"/>
      <c r="V159" s="43">
        <v>0</v>
      </c>
      <c r="W159" s="43">
        <v>0</v>
      </c>
      <c r="X159" s="43">
        <v>0</v>
      </c>
    </row>
    <row r="160" spans="18:24">
      <c r="R160" s="27"/>
      <c r="S160" s="7"/>
      <c r="T160" s="7"/>
      <c r="U160" s="7"/>
      <c r="V160" s="43">
        <v>0</v>
      </c>
      <c r="W160" s="43">
        <v>0</v>
      </c>
      <c r="X160" s="43">
        <v>0</v>
      </c>
    </row>
    <row r="161" spans="18:24">
      <c r="R161" s="27"/>
      <c r="S161" s="7"/>
      <c r="T161" s="7"/>
      <c r="U161" s="7"/>
      <c r="V161" s="43">
        <v>0</v>
      </c>
      <c r="W161" s="43">
        <v>0</v>
      </c>
      <c r="X161" s="43">
        <v>0</v>
      </c>
    </row>
    <row r="162" spans="18:24">
      <c r="R162" s="27"/>
      <c r="S162" s="7"/>
      <c r="T162" s="7"/>
      <c r="U162" s="7"/>
      <c r="V162" s="43">
        <v>0</v>
      </c>
      <c r="W162" s="43">
        <v>0</v>
      </c>
      <c r="X162" s="43">
        <v>0</v>
      </c>
    </row>
    <row r="163" spans="18:24">
      <c r="R163" s="27"/>
      <c r="S163" s="7"/>
      <c r="T163" s="7"/>
      <c r="U163" s="7"/>
      <c r="V163" s="43">
        <v>0</v>
      </c>
      <c r="W163" s="43">
        <v>0</v>
      </c>
      <c r="X163" s="43">
        <v>0</v>
      </c>
    </row>
    <row r="164" spans="18:24">
      <c r="R164" s="27"/>
      <c r="S164" s="7"/>
      <c r="T164" s="7"/>
      <c r="U164" s="7"/>
      <c r="V164" s="43">
        <v>0</v>
      </c>
      <c r="W164" s="43">
        <v>0</v>
      </c>
      <c r="X164" s="43">
        <v>0</v>
      </c>
    </row>
    <row r="165" spans="18:24">
      <c r="R165" s="27"/>
      <c r="S165" s="7"/>
      <c r="T165" s="7"/>
      <c r="U165" s="7"/>
      <c r="V165" s="43">
        <v>0</v>
      </c>
      <c r="W165" s="43">
        <v>0</v>
      </c>
      <c r="X165" s="43">
        <v>0</v>
      </c>
    </row>
    <row r="166" spans="18:24">
      <c r="R166" s="27"/>
      <c r="S166" s="7"/>
      <c r="T166" s="7"/>
      <c r="U166" s="7"/>
      <c r="V166" s="43">
        <v>0</v>
      </c>
      <c r="W166" s="43">
        <v>0</v>
      </c>
      <c r="X166" s="43">
        <v>0</v>
      </c>
    </row>
    <row r="167" spans="18:24">
      <c r="R167" s="27"/>
      <c r="S167" s="7"/>
      <c r="T167" s="7"/>
      <c r="U167" s="7"/>
      <c r="V167" s="43">
        <v>0</v>
      </c>
      <c r="W167" s="43">
        <v>0</v>
      </c>
      <c r="X167" s="43">
        <v>0</v>
      </c>
    </row>
    <row r="168" spans="18:24">
      <c r="R168" s="27"/>
      <c r="S168" s="7"/>
      <c r="T168" s="7"/>
      <c r="U168" s="7"/>
      <c r="V168" s="43">
        <v>0</v>
      </c>
      <c r="W168" s="43">
        <v>0</v>
      </c>
      <c r="X168" s="43">
        <v>0</v>
      </c>
    </row>
    <row r="169" spans="18:24">
      <c r="R169" s="27"/>
      <c r="S169" s="7"/>
      <c r="T169" s="7"/>
      <c r="U169" s="7"/>
      <c r="V169" s="43">
        <v>0</v>
      </c>
      <c r="W169" s="43">
        <v>0</v>
      </c>
      <c r="X169" s="43">
        <v>0</v>
      </c>
    </row>
    <row r="170" spans="18:24">
      <c r="R170" s="27"/>
      <c r="S170" s="7"/>
      <c r="T170" s="7"/>
      <c r="U170" s="7"/>
      <c r="V170" s="43">
        <v>0</v>
      </c>
      <c r="W170" s="43">
        <v>0</v>
      </c>
      <c r="X170" s="43">
        <v>0</v>
      </c>
    </row>
    <row r="171" spans="18:24">
      <c r="R171" s="27"/>
      <c r="S171" s="7"/>
      <c r="T171" s="7"/>
      <c r="U171" s="7"/>
      <c r="V171" s="43">
        <v>0</v>
      </c>
      <c r="W171" s="43">
        <v>0</v>
      </c>
      <c r="X171" s="43">
        <v>0</v>
      </c>
    </row>
    <row r="172" spans="18:24">
      <c r="R172" s="27"/>
      <c r="S172" s="7"/>
      <c r="T172" s="7"/>
      <c r="U172" s="7"/>
      <c r="V172" s="43">
        <v>0</v>
      </c>
      <c r="W172" s="43">
        <v>0</v>
      </c>
      <c r="X172" s="43">
        <v>0</v>
      </c>
    </row>
    <row r="173" spans="18:24">
      <c r="R173" s="27"/>
      <c r="S173" s="7"/>
      <c r="T173" s="7"/>
      <c r="U173" s="7"/>
      <c r="V173" s="43">
        <v>0</v>
      </c>
      <c r="W173" s="43">
        <v>0</v>
      </c>
      <c r="X173" s="43">
        <v>0</v>
      </c>
    </row>
    <row r="174" spans="18:24">
      <c r="R174" s="27"/>
      <c r="S174" s="7"/>
      <c r="T174" s="7"/>
      <c r="U174" s="7"/>
      <c r="V174" s="43">
        <v>0</v>
      </c>
      <c r="W174" s="43">
        <v>0</v>
      </c>
      <c r="X174" s="43">
        <v>0</v>
      </c>
    </row>
    <row r="175" spans="18:24">
      <c r="R175" s="27"/>
      <c r="S175" s="7"/>
      <c r="T175" s="7"/>
      <c r="U175" s="7"/>
      <c r="V175" s="43">
        <v>0</v>
      </c>
      <c r="W175" s="43">
        <v>0</v>
      </c>
      <c r="X175" s="43">
        <v>0</v>
      </c>
    </row>
    <row r="176" spans="18:24">
      <c r="R176" s="27"/>
      <c r="S176" s="7"/>
      <c r="T176" s="7"/>
      <c r="U176" s="7"/>
      <c r="V176" s="43">
        <v>0</v>
      </c>
      <c r="W176" s="43">
        <v>0</v>
      </c>
      <c r="X176" s="43">
        <v>0</v>
      </c>
    </row>
    <row r="177" spans="18:24">
      <c r="R177" s="27"/>
      <c r="S177" s="7"/>
      <c r="T177" s="7"/>
      <c r="U177" s="7"/>
      <c r="V177" s="43">
        <v>0</v>
      </c>
      <c r="W177" s="43">
        <v>0</v>
      </c>
      <c r="X177" s="43">
        <v>0</v>
      </c>
    </row>
    <row r="178" spans="18:24">
      <c r="R178" s="27"/>
      <c r="S178" s="7"/>
      <c r="T178" s="7"/>
      <c r="U178" s="7"/>
      <c r="V178" s="43">
        <v>0</v>
      </c>
      <c r="W178" s="43">
        <v>0</v>
      </c>
      <c r="X178" s="43">
        <v>0</v>
      </c>
    </row>
    <row r="179" spans="18:24">
      <c r="R179" s="27"/>
      <c r="S179" s="7"/>
      <c r="T179" s="7"/>
      <c r="U179" s="7"/>
      <c r="V179" s="43">
        <v>0</v>
      </c>
      <c r="W179" s="43">
        <v>0</v>
      </c>
      <c r="X179" s="43">
        <v>0</v>
      </c>
    </row>
    <row r="180" spans="18:24">
      <c r="R180" s="27"/>
      <c r="S180" s="7"/>
      <c r="T180" s="7"/>
      <c r="U180" s="7"/>
      <c r="V180" s="43">
        <v>0</v>
      </c>
      <c r="W180" s="43">
        <v>0</v>
      </c>
      <c r="X180" s="43">
        <v>0</v>
      </c>
    </row>
    <row r="181" spans="18:24">
      <c r="R181" s="27"/>
      <c r="S181" s="7"/>
      <c r="T181" s="7"/>
      <c r="U181" s="7"/>
      <c r="V181" s="43">
        <v>0</v>
      </c>
      <c r="W181" s="43">
        <v>0</v>
      </c>
      <c r="X181" s="43">
        <v>0</v>
      </c>
    </row>
    <row r="182" spans="18:24">
      <c r="R182" s="27"/>
      <c r="S182" s="7"/>
      <c r="T182" s="7"/>
      <c r="U182" s="7"/>
      <c r="V182" s="43">
        <v>0</v>
      </c>
      <c r="W182" s="43">
        <v>0</v>
      </c>
      <c r="X182" s="43">
        <v>0</v>
      </c>
    </row>
    <row r="183" spans="18:24">
      <c r="R183" s="27"/>
      <c r="S183" s="7"/>
      <c r="T183" s="7"/>
      <c r="U183" s="7"/>
      <c r="V183" s="43">
        <v>0</v>
      </c>
      <c r="W183" s="43">
        <v>0</v>
      </c>
      <c r="X183" s="43">
        <v>0</v>
      </c>
    </row>
    <row r="184" spans="18:24">
      <c r="R184" s="27"/>
      <c r="S184" s="7"/>
      <c r="T184" s="7"/>
      <c r="U184" s="7"/>
      <c r="V184" s="43">
        <v>0</v>
      </c>
      <c r="W184" s="43">
        <v>0</v>
      </c>
      <c r="X184" s="43">
        <v>0</v>
      </c>
    </row>
    <row r="185" spans="18:24">
      <c r="R185" s="27"/>
      <c r="S185" s="7"/>
      <c r="T185" s="7"/>
      <c r="U185" s="7"/>
      <c r="V185" s="43">
        <v>0</v>
      </c>
      <c r="W185" s="43">
        <v>0</v>
      </c>
      <c r="X185" s="43">
        <v>0</v>
      </c>
    </row>
    <row r="186" spans="18:24">
      <c r="R186" s="27"/>
      <c r="S186" s="7"/>
      <c r="T186" s="7"/>
      <c r="U186" s="7"/>
      <c r="V186" s="43">
        <v>0</v>
      </c>
      <c r="W186" s="43">
        <v>0</v>
      </c>
      <c r="X186" s="43">
        <v>0</v>
      </c>
    </row>
    <row r="187" spans="18:24">
      <c r="R187" s="27"/>
      <c r="S187" s="7"/>
      <c r="T187" s="7"/>
      <c r="U187" s="7"/>
      <c r="V187" s="43">
        <v>0</v>
      </c>
      <c r="W187" s="43">
        <v>0</v>
      </c>
      <c r="X187" s="43">
        <v>0</v>
      </c>
    </row>
    <row r="188" spans="18:24">
      <c r="R188" s="27"/>
      <c r="S188" s="7"/>
      <c r="T188" s="7"/>
      <c r="U188" s="7"/>
      <c r="V188" s="43">
        <v>0</v>
      </c>
      <c r="W188" s="43">
        <v>0</v>
      </c>
      <c r="X188" s="43">
        <v>0</v>
      </c>
    </row>
    <row r="189" spans="18:24">
      <c r="R189" s="27"/>
      <c r="S189" s="7"/>
      <c r="T189" s="7"/>
      <c r="U189" s="7"/>
      <c r="V189" s="43">
        <v>0</v>
      </c>
      <c r="W189" s="43">
        <v>0</v>
      </c>
      <c r="X189" s="43">
        <v>0</v>
      </c>
    </row>
    <row r="190" spans="18:24">
      <c r="R190" s="27"/>
      <c r="S190" s="7"/>
      <c r="T190" s="7"/>
      <c r="U190" s="7"/>
      <c r="V190" s="43">
        <v>0</v>
      </c>
      <c r="W190" s="43">
        <v>0</v>
      </c>
      <c r="X190" s="43">
        <v>0</v>
      </c>
    </row>
    <row r="191" spans="18:24">
      <c r="R191" s="27"/>
      <c r="S191" s="7"/>
      <c r="T191" s="7"/>
      <c r="U191" s="7"/>
      <c r="V191" s="43">
        <v>0</v>
      </c>
      <c r="W191" s="43">
        <v>0</v>
      </c>
      <c r="X191" s="43">
        <v>0</v>
      </c>
    </row>
    <row r="192" spans="18:24">
      <c r="R192" s="27"/>
      <c r="S192" s="7"/>
      <c r="T192" s="7"/>
      <c r="U192" s="7"/>
      <c r="V192" s="43">
        <v>0</v>
      </c>
      <c r="W192" s="43">
        <v>0</v>
      </c>
      <c r="X192" s="43">
        <v>0</v>
      </c>
    </row>
    <row r="193" spans="18:24">
      <c r="R193" s="27"/>
      <c r="S193" s="7"/>
      <c r="T193" s="7"/>
      <c r="U193" s="7"/>
      <c r="V193" s="43">
        <v>0</v>
      </c>
      <c r="W193" s="43">
        <v>0</v>
      </c>
      <c r="X193" s="43">
        <v>0</v>
      </c>
    </row>
    <row r="194" spans="18:24">
      <c r="R194" s="27"/>
      <c r="S194" s="7"/>
      <c r="T194" s="7"/>
      <c r="U194" s="7"/>
      <c r="V194" s="43">
        <v>0</v>
      </c>
      <c r="W194" s="43">
        <v>0</v>
      </c>
      <c r="X194" s="43">
        <v>0</v>
      </c>
    </row>
    <row r="195" spans="18:24">
      <c r="R195" s="27"/>
      <c r="S195" s="7"/>
      <c r="T195" s="7"/>
      <c r="U195" s="7"/>
      <c r="V195" s="43">
        <v>0</v>
      </c>
      <c r="W195" s="43">
        <v>0</v>
      </c>
      <c r="X195" s="43">
        <v>0</v>
      </c>
    </row>
    <row r="196" spans="18:24">
      <c r="R196" s="27"/>
      <c r="S196" s="7"/>
      <c r="T196" s="7"/>
      <c r="U196" s="7"/>
      <c r="V196" s="43">
        <v>0</v>
      </c>
      <c r="W196" s="43">
        <v>0</v>
      </c>
      <c r="X196" s="43">
        <v>0</v>
      </c>
    </row>
    <row r="197" spans="18:24">
      <c r="R197" s="27"/>
      <c r="S197" s="7"/>
      <c r="T197" s="7"/>
      <c r="U197" s="7"/>
      <c r="V197" s="43">
        <v>0</v>
      </c>
      <c r="W197" s="43">
        <v>0</v>
      </c>
      <c r="X197" s="43">
        <v>0</v>
      </c>
    </row>
    <row r="198" spans="18:24">
      <c r="R198" s="27"/>
      <c r="S198" s="7"/>
      <c r="T198" s="7"/>
      <c r="U198" s="7"/>
      <c r="V198" s="43">
        <v>0</v>
      </c>
      <c r="W198" s="43">
        <v>0</v>
      </c>
      <c r="X198" s="43">
        <v>0</v>
      </c>
    </row>
    <row r="199" spans="18:24">
      <c r="R199" s="27"/>
      <c r="S199" s="7"/>
      <c r="T199" s="7"/>
      <c r="U199" s="7"/>
      <c r="V199" s="43">
        <v>0</v>
      </c>
      <c r="W199" s="43">
        <v>0</v>
      </c>
      <c r="X199" s="43">
        <v>0</v>
      </c>
    </row>
    <row r="200" spans="18:24">
      <c r="R200" s="27"/>
      <c r="S200" s="7"/>
      <c r="T200" s="7"/>
      <c r="U200" s="7"/>
      <c r="V200" s="43">
        <v>0</v>
      </c>
      <c r="W200" s="43">
        <v>0</v>
      </c>
      <c r="X200" s="43">
        <v>0</v>
      </c>
    </row>
    <row r="201" spans="18:24">
      <c r="R201" s="27"/>
      <c r="S201" s="7"/>
      <c r="T201" s="7"/>
      <c r="U201" s="7"/>
      <c r="V201" s="43">
        <v>0</v>
      </c>
      <c r="W201" s="43">
        <v>0</v>
      </c>
      <c r="X201" s="43">
        <v>0</v>
      </c>
    </row>
    <row r="202" spans="18:24">
      <c r="R202" s="27"/>
      <c r="S202" s="7"/>
      <c r="T202" s="7"/>
      <c r="U202" s="7"/>
      <c r="V202" s="4">
        <v>0</v>
      </c>
      <c r="W202" s="4">
        <v>0</v>
      </c>
      <c r="X202" s="4">
        <v>0</v>
      </c>
    </row>
    <row r="203" spans="18:24">
      <c r="R203" s="27"/>
      <c r="S203" s="7"/>
      <c r="T203" s="7"/>
      <c r="U203" s="7"/>
      <c r="V203" s="4">
        <v>0</v>
      </c>
      <c r="W203" s="4">
        <v>0</v>
      </c>
      <c r="X203" s="4">
        <v>0</v>
      </c>
    </row>
    <row r="204" spans="18:24">
      <c r="R204" s="27"/>
      <c r="S204" s="7"/>
      <c r="T204" s="7"/>
      <c r="U204" s="7"/>
      <c r="V204" s="4">
        <v>0</v>
      </c>
      <c r="W204" s="4">
        <v>0</v>
      </c>
      <c r="X204" s="4">
        <v>0</v>
      </c>
    </row>
    <row r="205" spans="18:24">
      <c r="R205" s="27"/>
      <c r="S205" s="7"/>
      <c r="T205" s="7"/>
      <c r="U205" s="7"/>
      <c r="V205" s="4">
        <v>0</v>
      </c>
      <c r="W205" s="4">
        <v>0</v>
      </c>
      <c r="X205" s="4">
        <v>0</v>
      </c>
    </row>
    <row r="206" spans="18:24">
      <c r="R206" s="27"/>
      <c r="S206" s="7"/>
      <c r="T206" s="7"/>
      <c r="U206" s="7"/>
      <c r="V206" s="4">
        <v>0</v>
      </c>
      <c r="W206" s="4">
        <v>0</v>
      </c>
      <c r="X206" s="4">
        <v>0</v>
      </c>
    </row>
    <row r="207" spans="18:24">
      <c r="R207" s="27"/>
      <c r="S207" s="7"/>
      <c r="T207" s="7"/>
      <c r="U207" s="7"/>
      <c r="V207" s="4">
        <v>0</v>
      </c>
      <c r="W207" s="4">
        <v>0</v>
      </c>
      <c r="X207" s="4">
        <v>0</v>
      </c>
    </row>
    <row r="208" spans="18:24">
      <c r="R208" s="27"/>
      <c r="S208" s="7"/>
      <c r="T208" s="7"/>
      <c r="U208" s="7"/>
      <c r="V208" s="4">
        <v>0</v>
      </c>
      <c r="W208" s="4">
        <v>0</v>
      </c>
      <c r="X208" s="4">
        <v>0</v>
      </c>
    </row>
    <row r="209" spans="18:24">
      <c r="R209" s="27"/>
      <c r="S209" s="7"/>
      <c r="T209" s="7"/>
      <c r="U209" s="7"/>
      <c r="V209" s="4">
        <v>0</v>
      </c>
      <c r="W209" s="4">
        <v>0</v>
      </c>
      <c r="X209" s="4">
        <v>0</v>
      </c>
    </row>
    <row r="210" spans="18:24">
      <c r="R210" s="27"/>
      <c r="S210" s="7"/>
      <c r="T210" s="7"/>
      <c r="U210" s="7"/>
      <c r="V210" s="4">
        <v>0</v>
      </c>
      <c r="W210" s="4">
        <v>0</v>
      </c>
      <c r="X210" s="4">
        <v>0</v>
      </c>
    </row>
    <row r="211" spans="18:24">
      <c r="R211" s="27"/>
      <c r="S211" s="7"/>
      <c r="T211" s="7"/>
      <c r="U211" s="7"/>
      <c r="V211" s="4">
        <v>0</v>
      </c>
      <c r="W211" s="4">
        <v>0</v>
      </c>
      <c r="X211" s="4">
        <v>0</v>
      </c>
    </row>
    <row r="212" spans="18:24">
      <c r="R212" s="27"/>
      <c r="S212" s="7"/>
      <c r="T212" s="7"/>
      <c r="U212" s="7"/>
      <c r="V212" s="4">
        <v>0</v>
      </c>
      <c r="W212" s="4">
        <v>0</v>
      </c>
      <c r="X212" s="4">
        <v>0</v>
      </c>
    </row>
    <row r="213" spans="18:24">
      <c r="R213" s="27"/>
      <c r="S213" s="7"/>
      <c r="T213" s="7"/>
      <c r="U213" s="7"/>
      <c r="V213" s="4">
        <v>0</v>
      </c>
      <c r="W213" s="4">
        <v>0</v>
      </c>
      <c r="X213" s="4">
        <v>0</v>
      </c>
    </row>
    <row r="214" spans="18:24">
      <c r="R214" s="27"/>
      <c r="S214" s="7"/>
      <c r="T214" s="7"/>
      <c r="U214" s="7"/>
      <c r="V214" s="4">
        <v>0</v>
      </c>
      <c r="W214" s="4">
        <v>0</v>
      </c>
      <c r="X214" s="4">
        <v>0</v>
      </c>
    </row>
    <row r="215" spans="18:24">
      <c r="R215" s="27"/>
      <c r="S215" s="7"/>
      <c r="T215" s="7"/>
      <c r="U215" s="7"/>
      <c r="V215" s="4">
        <v>0</v>
      </c>
      <c r="W215" s="4">
        <v>0</v>
      </c>
      <c r="X215" s="4">
        <v>0</v>
      </c>
    </row>
    <row r="216" spans="18:24">
      <c r="R216" s="27"/>
      <c r="S216" s="7"/>
      <c r="T216" s="7"/>
      <c r="U216" s="7"/>
      <c r="V216" s="4">
        <v>0</v>
      </c>
      <c r="W216" s="4">
        <v>0</v>
      </c>
      <c r="X216" s="4">
        <v>0</v>
      </c>
    </row>
    <row r="217" spans="18:24">
      <c r="R217" s="27"/>
      <c r="S217" s="7"/>
      <c r="T217" s="7"/>
      <c r="U217" s="7"/>
      <c r="V217" s="4">
        <v>0</v>
      </c>
      <c r="W217" s="4">
        <v>0</v>
      </c>
      <c r="X217" s="4">
        <v>0</v>
      </c>
    </row>
    <row r="218" spans="18:24">
      <c r="R218" s="27"/>
      <c r="S218" s="7"/>
      <c r="T218" s="7"/>
      <c r="U218" s="7"/>
      <c r="V218" s="4">
        <v>0</v>
      </c>
      <c r="W218" s="4">
        <v>0</v>
      </c>
      <c r="X218" s="4">
        <v>0</v>
      </c>
    </row>
    <row r="219" spans="18:24">
      <c r="R219" s="27"/>
      <c r="S219" s="7"/>
      <c r="T219" s="7"/>
      <c r="U219" s="7"/>
      <c r="V219" s="4">
        <v>0</v>
      </c>
      <c r="W219" s="4">
        <v>0</v>
      </c>
      <c r="X219" s="4">
        <v>0</v>
      </c>
    </row>
    <row r="220" spans="18:24">
      <c r="R220" s="27"/>
      <c r="S220" s="7"/>
      <c r="T220" s="7"/>
      <c r="U220" s="7"/>
      <c r="V220" s="4">
        <v>0</v>
      </c>
      <c r="W220" s="4">
        <v>0</v>
      </c>
      <c r="X220" s="4">
        <v>0</v>
      </c>
    </row>
    <row r="221" spans="18:24">
      <c r="R221" s="27"/>
      <c r="S221" s="7"/>
      <c r="T221" s="7"/>
      <c r="U221" s="7"/>
      <c r="V221" s="4">
        <v>0</v>
      </c>
      <c r="W221" s="4">
        <v>0</v>
      </c>
      <c r="X221" s="4">
        <v>0</v>
      </c>
    </row>
    <row r="222" spans="18:24">
      <c r="R222" s="27"/>
      <c r="S222" s="7"/>
      <c r="T222" s="7"/>
      <c r="U222" s="7"/>
      <c r="V222" s="4">
        <v>0</v>
      </c>
      <c r="W222" s="4">
        <v>0</v>
      </c>
      <c r="X222" s="4">
        <v>0</v>
      </c>
    </row>
    <row r="223" spans="18:24">
      <c r="R223" s="27"/>
      <c r="S223" s="7"/>
      <c r="T223" s="7"/>
      <c r="U223" s="7"/>
      <c r="V223" s="4">
        <v>0</v>
      </c>
      <c r="W223" s="4">
        <v>0</v>
      </c>
      <c r="X223" s="4">
        <v>0</v>
      </c>
    </row>
    <row r="224" spans="18:24">
      <c r="R224" s="27"/>
      <c r="S224" s="7"/>
      <c r="T224" s="7"/>
      <c r="U224" s="7"/>
      <c r="V224" s="4">
        <v>0</v>
      </c>
      <c r="W224" s="4">
        <v>0</v>
      </c>
      <c r="X224" s="4">
        <v>0</v>
      </c>
    </row>
    <row r="225" spans="18:24">
      <c r="R225" s="27"/>
      <c r="S225" s="7"/>
      <c r="T225" s="7"/>
      <c r="U225" s="7"/>
      <c r="V225" s="4">
        <v>0</v>
      </c>
      <c r="W225" s="4">
        <v>0</v>
      </c>
      <c r="X225" s="4">
        <v>0</v>
      </c>
    </row>
    <row r="226" spans="18:24">
      <c r="R226" s="27"/>
      <c r="S226" s="7"/>
      <c r="T226" s="7"/>
      <c r="U226" s="7"/>
      <c r="V226" s="4">
        <v>0</v>
      </c>
      <c r="W226" s="4">
        <v>0</v>
      </c>
      <c r="X226" s="4">
        <v>0</v>
      </c>
    </row>
    <row r="227" spans="18:24">
      <c r="R227" s="27"/>
      <c r="S227" s="7"/>
      <c r="T227" s="7"/>
      <c r="U227" s="7"/>
      <c r="V227" s="4">
        <v>0</v>
      </c>
      <c r="W227" s="4">
        <v>0</v>
      </c>
      <c r="X227" s="4">
        <v>0</v>
      </c>
    </row>
    <row r="228" spans="18:24">
      <c r="R228" s="27"/>
      <c r="S228" s="7"/>
      <c r="T228" s="7"/>
      <c r="U228" s="7"/>
      <c r="V228" s="4">
        <v>0</v>
      </c>
      <c r="W228" s="4">
        <v>0</v>
      </c>
      <c r="X228" s="4">
        <v>0</v>
      </c>
    </row>
    <row r="229" spans="18:24">
      <c r="R229" s="27"/>
      <c r="S229" s="7"/>
      <c r="T229" s="7"/>
      <c r="U229" s="7"/>
      <c r="V229" s="4">
        <v>0</v>
      </c>
      <c r="W229" s="4">
        <v>0</v>
      </c>
      <c r="X229" s="4">
        <v>0</v>
      </c>
    </row>
    <row r="230" spans="18:24">
      <c r="R230" s="27"/>
      <c r="S230" s="7"/>
      <c r="T230" s="7"/>
      <c r="U230" s="7"/>
      <c r="V230" s="4">
        <v>0</v>
      </c>
      <c r="W230" s="4">
        <v>0</v>
      </c>
      <c r="X230" s="4">
        <v>0</v>
      </c>
    </row>
    <row r="231" spans="18:24">
      <c r="R231" s="27"/>
      <c r="S231" s="7"/>
      <c r="T231" s="7"/>
      <c r="U231" s="7"/>
      <c r="V231" s="4">
        <v>0</v>
      </c>
      <c r="W231" s="4">
        <v>0</v>
      </c>
      <c r="X231" s="4">
        <v>0</v>
      </c>
    </row>
    <row r="232" spans="18:24">
      <c r="R232" s="27"/>
      <c r="S232" s="7"/>
      <c r="T232" s="7"/>
      <c r="U232" s="7"/>
      <c r="V232" s="4">
        <v>0</v>
      </c>
      <c r="W232" s="4">
        <v>0</v>
      </c>
      <c r="X232" s="4">
        <v>0</v>
      </c>
    </row>
    <row r="233" spans="18:24">
      <c r="R233" s="27"/>
      <c r="S233" s="7"/>
      <c r="T233" s="7"/>
      <c r="U233" s="7"/>
      <c r="V233" s="4">
        <v>0</v>
      </c>
      <c r="W233" s="4">
        <v>0</v>
      </c>
      <c r="X233" s="4">
        <v>0</v>
      </c>
    </row>
    <row r="234" spans="18:24">
      <c r="R234" s="27"/>
      <c r="S234" s="7"/>
      <c r="T234" s="7"/>
      <c r="U234" s="7"/>
      <c r="V234" s="4">
        <v>0</v>
      </c>
      <c r="W234" s="4">
        <v>0</v>
      </c>
      <c r="X234" s="4">
        <v>0</v>
      </c>
    </row>
    <row r="235" spans="18:24">
      <c r="R235" s="27"/>
      <c r="S235" s="7"/>
      <c r="T235" s="7"/>
      <c r="U235" s="7"/>
      <c r="V235" s="4">
        <v>0</v>
      </c>
      <c r="W235" s="4">
        <v>0</v>
      </c>
      <c r="X235" s="4">
        <v>0</v>
      </c>
    </row>
    <row r="236" spans="18:24">
      <c r="R236" s="27"/>
      <c r="S236" s="7"/>
      <c r="T236" s="7"/>
      <c r="U236" s="7"/>
      <c r="V236" s="4">
        <v>0</v>
      </c>
      <c r="W236" s="4">
        <v>0</v>
      </c>
      <c r="X236" s="4">
        <v>0</v>
      </c>
    </row>
    <row r="237" spans="18:24">
      <c r="R237" s="27"/>
      <c r="S237" s="7"/>
      <c r="T237" s="7"/>
      <c r="U237" s="7"/>
      <c r="V237" s="4">
        <v>0</v>
      </c>
      <c r="W237" s="4">
        <v>0</v>
      </c>
      <c r="X237" s="4">
        <v>0</v>
      </c>
    </row>
    <row r="238" spans="18:24">
      <c r="R238" s="27"/>
      <c r="S238" s="7"/>
      <c r="T238" s="7"/>
      <c r="U238" s="7"/>
      <c r="V238" s="4">
        <v>0</v>
      </c>
      <c r="W238" s="4">
        <v>0</v>
      </c>
      <c r="X238" s="4">
        <v>0</v>
      </c>
    </row>
    <row r="239" spans="18:24">
      <c r="R239" s="27"/>
      <c r="S239" s="7"/>
      <c r="T239" s="7"/>
      <c r="U239" s="7"/>
      <c r="V239" s="4">
        <v>0</v>
      </c>
      <c r="W239" s="4">
        <v>0</v>
      </c>
      <c r="X239" s="4">
        <v>0</v>
      </c>
    </row>
    <row r="240" spans="18:24">
      <c r="R240" s="27"/>
      <c r="S240" s="7"/>
      <c r="T240" s="7"/>
      <c r="U240" s="7"/>
      <c r="V240" s="4">
        <v>0</v>
      </c>
      <c r="W240" s="4">
        <v>0</v>
      </c>
      <c r="X240" s="4">
        <v>0</v>
      </c>
    </row>
    <row r="241" spans="18:24">
      <c r="R241" s="27"/>
      <c r="S241" s="7"/>
      <c r="T241" s="7"/>
      <c r="U241" s="7"/>
      <c r="V241" s="4">
        <v>0</v>
      </c>
      <c r="W241" s="4">
        <v>0</v>
      </c>
      <c r="X241" s="4">
        <v>0</v>
      </c>
    </row>
    <row r="242" spans="18:24">
      <c r="R242" s="27"/>
      <c r="S242" s="7"/>
      <c r="T242" s="7"/>
      <c r="U242" s="7"/>
      <c r="V242" s="4">
        <v>0</v>
      </c>
      <c r="W242" s="4">
        <v>0</v>
      </c>
      <c r="X242" s="4">
        <v>0</v>
      </c>
    </row>
    <row r="243" spans="18:24">
      <c r="R243" s="27"/>
      <c r="S243" s="7"/>
      <c r="T243" s="7"/>
      <c r="U243" s="7"/>
      <c r="V243" s="4">
        <v>0</v>
      </c>
      <c r="W243" s="4">
        <v>0</v>
      </c>
      <c r="X243" s="4">
        <v>0</v>
      </c>
    </row>
    <row r="244" spans="18:24">
      <c r="R244" s="27"/>
      <c r="S244" s="7"/>
      <c r="T244" s="7"/>
      <c r="U244" s="7"/>
      <c r="V244" s="4">
        <v>0</v>
      </c>
      <c r="W244" s="4">
        <v>0</v>
      </c>
      <c r="X244" s="4">
        <v>0</v>
      </c>
    </row>
    <row r="245" spans="18:24">
      <c r="R245" s="27"/>
      <c r="S245" s="7"/>
      <c r="T245" s="7"/>
      <c r="U245" s="7"/>
      <c r="V245" s="4">
        <v>0</v>
      </c>
      <c r="W245" s="4">
        <v>0</v>
      </c>
      <c r="X245" s="4">
        <v>0</v>
      </c>
    </row>
    <row r="246" spans="18:24">
      <c r="R246" s="27"/>
      <c r="S246" s="7"/>
      <c r="T246" s="7"/>
      <c r="U246" s="7"/>
      <c r="V246" s="4">
        <v>0</v>
      </c>
      <c r="W246" s="4">
        <v>0</v>
      </c>
      <c r="X246" s="4">
        <v>0</v>
      </c>
    </row>
    <row r="247" spans="18:24">
      <c r="R247" s="27"/>
      <c r="S247" s="7"/>
      <c r="T247" s="7"/>
      <c r="U247" s="7"/>
      <c r="V247" s="4">
        <v>0</v>
      </c>
      <c r="W247" s="4">
        <v>0</v>
      </c>
      <c r="X247" s="4">
        <v>0</v>
      </c>
    </row>
    <row r="248" spans="18:24">
      <c r="R248" s="27"/>
      <c r="S248" s="7"/>
      <c r="T248" s="7"/>
      <c r="U248" s="7"/>
      <c r="V248" s="4">
        <v>0</v>
      </c>
      <c r="W248" s="4">
        <v>0</v>
      </c>
      <c r="X248" s="4">
        <v>0</v>
      </c>
    </row>
    <row r="249" spans="18:24">
      <c r="R249" s="27"/>
      <c r="S249" s="7"/>
      <c r="T249" s="7"/>
      <c r="U249" s="7"/>
      <c r="V249" s="4">
        <v>0</v>
      </c>
      <c r="W249" s="4">
        <v>0</v>
      </c>
      <c r="X249" s="4">
        <v>0</v>
      </c>
    </row>
    <row r="250" spans="18:24">
      <c r="R250" s="27"/>
      <c r="S250" s="5"/>
      <c r="T250" s="5"/>
      <c r="U250" s="5"/>
      <c r="V250" s="4">
        <v>0</v>
      </c>
      <c r="W250" s="4">
        <v>0</v>
      </c>
      <c r="X250" s="4">
        <v>0</v>
      </c>
    </row>
    <row r="251" spans="18:24">
      <c r="R251" s="27"/>
      <c r="S251" s="5"/>
      <c r="T251" s="5"/>
      <c r="U251" s="5"/>
      <c r="V251" s="4">
        <v>0</v>
      </c>
      <c r="W251" s="4">
        <v>0</v>
      </c>
      <c r="X251" s="4">
        <v>0</v>
      </c>
    </row>
    <row r="252" spans="18:24">
      <c r="R252" s="27"/>
      <c r="S252" s="5"/>
      <c r="T252" s="5"/>
      <c r="U252" s="5"/>
      <c r="V252" s="4">
        <v>0</v>
      </c>
      <c r="W252" s="4">
        <v>0</v>
      </c>
      <c r="X252" s="4">
        <v>0</v>
      </c>
    </row>
    <row r="253" spans="18:24">
      <c r="R253" s="27"/>
      <c r="S253" s="5"/>
      <c r="T253" s="5"/>
      <c r="U253" s="5"/>
      <c r="V253" s="4">
        <v>0</v>
      </c>
      <c r="W253" s="4">
        <v>0</v>
      </c>
      <c r="X253" s="4">
        <v>0</v>
      </c>
    </row>
    <row r="254" spans="18:24">
      <c r="R254" s="27"/>
      <c r="S254" s="5"/>
      <c r="T254" s="5"/>
      <c r="U254" s="5"/>
    </row>
    <row r="255" spans="18:24">
      <c r="R255" s="27"/>
    </row>
  </sheetData>
  <mergeCells count="1">
    <mergeCell ref="D1:L1"/>
  </mergeCells>
  <phoneticPr fontId="2" type="noConversion"/>
  <conditionalFormatting sqref="T1 T206:T1048576">
    <cfRule type="cellIs" dxfId="17" priority="68" operator="greaterThanOrEqual">
      <formula>$D$16</formula>
    </cfRule>
  </conditionalFormatting>
  <conditionalFormatting sqref="S1 S206:S1048576">
    <cfRule type="cellIs" dxfId="16" priority="69" operator="greaterThanOrEqual">
      <formula>$C$16</formula>
    </cfRule>
  </conditionalFormatting>
  <conditionalFormatting sqref="U1 U206:U1048576">
    <cfRule type="cellIs" dxfId="15" priority="72" operator="greaterThanOrEqual">
      <formula>$E$16</formula>
    </cfRule>
  </conditionalFormatting>
  <conditionalFormatting sqref="T134:T205">
    <cfRule type="cellIs" dxfId="14" priority="62" operator="greaterThanOrEqual">
      <formula>$D$16</formula>
    </cfRule>
  </conditionalFormatting>
  <conditionalFormatting sqref="S134:S205">
    <cfRule type="cellIs" dxfId="13" priority="63" operator="greaterThanOrEqual">
      <formula>$C$16</formula>
    </cfRule>
  </conditionalFormatting>
  <conditionalFormatting sqref="U134:U205">
    <cfRule type="cellIs" dxfId="12" priority="64" operator="greaterThanOrEqual">
      <formula>$E$16</formula>
    </cfRule>
  </conditionalFormatting>
  <conditionalFormatting sqref="T131">
    <cfRule type="cellIs" dxfId="11" priority="38" operator="greaterThanOrEqual">
      <formula>$D$16</formula>
    </cfRule>
  </conditionalFormatting>
  <conditionalFormatting sqref="S131">
    <cfRule type="cellIs" dxfId="10" priority="39" operator="greaterThanOrEqual">
      <formula>$C$16</formula>
    </cfRule>
  </conditionalFormatting>
  <conditionalFormatting sqref="U131">
    <cfRule type="cellIs" dxfId="9" priority="40" operator="greaterThanOrEqual">
      <formula>$E$16</formula>
    </cfRule>
  </conditionalFormatting>
  <conditionalFormatting sqref="T132">
    <cfRule type="cellIs" dxfId="8" priority="13" operator="greaterThanOrEqual">
      <formula>$D$16</formula>
    </cfRule>
  </conditionalFormatting>
  <conditionalFormatting sqref="S132">
    <cfRule type="cellIs" dxfId="7" priority="14" operator="greaterThanOrEqual">
      <formula>$C$16</formula>
    </cfRule>
  </conditionalFormatting>
  <conditionalFormatting sqref="U132">
    <cfRule type="cellIs" dxfId="6" priority="15" operator="greaterThanOrEqual">
      <formula>$E$16</formula>
    </cfRule>
  </conditionalFormatting>
  <conditionalFormatting sqref="T133">
    <cfRule type="cellIs" dxfId="5" priority="7" operator="greaterThanOrEqual">
      <formula>$D$16</formula>
    </cfRule>
  </conditionalFormatting>
  <conditionalFormatting sqref="S133">
    <cfRule type="cellIs" dxfId="4" priority="8" operator="greaterThanOrEqual">
      <formula>$C$16</formula>
    </cfRule>
  </conditionalFormatting>
  <conditionalFormatting sqref="U133">
    <cfRule type="cellIs" dxfId="3" priority="9" operator="greaterThanOrEqual">
      <formula>$E$16</formula>
    </cfRule>
  </conditionalFormatting>
  <conditionalFormatting sqref="T26:T130">
    <cfRule type="cellIs" dxfId="2" priority="1" operator="greaterThanOrEqual">
      <formula>$D$16</formula>
    </cfRule>
  </conditionalFormatting>
  <conditionalFormatting sqref="S26:S130">
    <cfRule type="cellIs" dxfId="1" priority="2" operator="greaterThanOrEqual">
      <formula>$C$16</formula>
    </cfRule>
  </conditionalFormatting>
  <conditionalFormatting sqref="U26:U130">
    <cfRule type="cellIs" dxfId="0" priority="3" operator="greaterThanOrEqual">
      <formula>$E$16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yTurboNoteOnVBASub">
                <anchor moveWithCells="1" sizeWithCells="1">
                  <from>
                    <xdr:col>0</xdr:col>
                    <xdr:colOff>85725</xdr:colOff>
                    <xdr:row>0</xdr:row>
                    <xdr:rowOff>85725</xdr:rowOff>
                  </from>
                  <to>
                    <xdr:col>0</xdr:col>
                    <xdr:colOff>733425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貼評價上傳資料到其它Sheet">
                <anchor moveWithCells="1" sizeWithCells="1">
                  <from>
                    <xdr:col>25</xdr:col>
                    <xdr:colOff>638175</xdr:colOff>
                    <xdr:row>14</xdr:row>
                    <xdr:rowOff>9525</xdr:rowOff>
                  </from>
                  <to>
                    <xdr:col>27</xdr:col>
                    <xdr:colOff>200025</xdr:colOff>
                    <xdr:row>15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收集資料_VolCorr">
                <anchor moveWithCells="1" sizeWithCells="1">
                  <from>
                    <xdr:col>25</xdr:col>
                    <xdr:colOff>619125</xdr:colOff>
                    <xdr:row>9</xdr:row>
                    <xdr:rowOff>171450</xdr:rowOff>
                  </from>
                  <to>
                    <xdr:col>27</xdr:col>
                    <xdr:colOff>180975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X19"/>
  <sheetViews>
    <sheetView workbookViewId="0">
      <pane xSplit="2" ySplit="1" topLeftCell="C2" activePane="bottomRight" state="frozenSplit"/>
      <selection pane="topRight" activeCell="C1" sqref="C1"/>
      <selection pane="bottomLeft"/>
      <selection pane="bottomRight" activeCell="A2" sqref="A2:P3"/>
    </sheetView>
  </sheetViews>
  <sheetFormatPr defaultRowHeight="16.5"/>
  <cols>
    <col min="2" max="2" width="11.375" bestFit="1" customWidth="1"/>
    <col min="4" max="4" width="11.375" bestFit="1" customWidth="1"/>
    <col min="5" max="5" width="10.375" customWidth="1"/>
    <col min="6" max="6" width="9.125" customWidth="1"/>
    <col min="7" max="7" width="8.25" customWidth="1"/>
    <col min="8" max="8" width="10.875" customWidth="1"/>
    <col min="9" max="9" width="11.25" bestFit="1" customWidth="1"/>
    <col min="11" max="11" width="11.125" bestFit="1" customWidth="1"/>
    <col min="13" max="14" width="13.5" bestFit="1" customWidth="1"/>
    <col min="15" max="16" width="12.75" bestFit="1" customWidth="1"/>
  </cols>
  <sheetData>
    <row r="1" spans="1:24">
      <c r="A1" s="21" t="s">
        <v>36</v>
      </c>
      <c r="B1" s="21" t="s">
        <v>37</v>
      </c>
      <c r="C1" s="21" t="s">
        <v>38</v>
      </c>
      <c r="D1" s="21" t="s">
        <v>39</v>
      </c>
      <c r="E1" s="21" t="s">
        <v>40</v>
      </c>
      <c r="F1" s="21" t="s">
        <v>41</v>
      </c>
      <c r="G1" s="21" t="s">
        <v>42</v>
      </c>
      <c r="H1" s="21" t="s">
        <v>43</v>
      </c>
      <c r="I1" s="21" t="s">
        <v>44</v>
      </c>
      <c r="J1" s="21" t="s">
        <v>45</v>
      </c>
      <c r="K1" s="21" t="s">
        <v>46</v>
      </c>
      <c r="L1" s="21" t="s">
        <v>47</v>
      </c>
      <c r="M1" s="21" t="s">
        <v>48</v>
      </c>
      <c r="N1" s="21" t="s">
        <v>49</v>
      </c>
      <c r="O1" s="21" t="s">
        <v>50</v>
      </c>
      <c r="P1" s="21" t="s">
        <v>51</v>
      </c>
    </row>
    <row r="2" spans="1:24">
      <c r="A2" s="1"/>
      <c r="B2" s="25"/>
      <c r="C2" s="1"/>
      <c r="D2" s="25"/>
      <c r="E2" s="22"/>
      <c r="F2" s="50"/>
      <c r="G2" s="22"/>
      <c r="H2" s="22"/>
      <c r="I2" s="1"/>
      <c r="J2" s="22"/>
      <c r="K2" s="1"/>
      <c r="L2" s="8"/>
      <c r="R2">
        <v>8.7999999999999988E-3</v>
      </c>
      <c r="S2" s="13">
        <v>1.0476190476190476E-2</v>
      </c>
      <c r="T2" s="19">
        <v>1</v>
      </c>
      <c r="U2" s="13">
        <v>1.0104761904761905</v>
      </c>
      <c r="V2" s="33"/>
      <c r="W2" s="33"/>
      <c r="X2" s="33"/>
    </row>
    <row r="3" spans="1:24">
      <c r="A3" s="1"/>
      <c r="B3" s="25"/>
      <c r="C3" s="1"/>
      <c r="D3" s="25"/>
      <c r="E3" s="22"/>
      <c r="F3" s="50"/>
      <c r="G3" s="22"/>
      <c r="H3" s="22"/>
      <c r="I3" s="1"/>
      <c r="J3" s="22"/>
      <c r="K3" s="1"/>
      <c r="L3" s="8"/>
      <c r="U3" s="1"/>
      <c r="V3" s="33"/>
      <c r="W3" s="33"/>
      <c r="X3" s="33"/>
    </row>
    <row r="4" spans="1:24">
      <c r="A4" s="1"/>
      <c r="B4" s="25"/>
      <c r="C4" s="1"/>
      <c r="D4" s="25"/>
      <c r="E4" s="22"/>
      <c r="F4" s="50"/>
      <c r="G4" s="22"/>
      <c r="H4" s="22"/>
      <c r="I4" s="1"/>
      <c r="J4" s="22"/>
      <c r="K4" s="1"/>
      <c r="L4" s="8"/>
      <c r="U4" s="1"/>
      <c r="V4" s="33"/>
      <c r="W4" s="33"/>
      <c r="X4" s="33"/>
    </row>
    <row r="5" spans="1:24">
      <c r="A5" s="1"/>
      <c r="B5" s="25"/>
      <c r="C5" s="1"/>
      <c r="D5" s="25"/>
      <c r="E5" s="22"/>
      <c r="F5" s="50"/>
      <c r="G5" s="22"/>
      <c r="H5" s="22"/>
      <c r="I5" s="1"/>
      <c r="J5" s="22"/>
      <c r="K5" s="1"/>
      <c r="L5" s="8"/>
      <c r="U5" s="1"/>
      <c r="V5" s="33"/>
      <c r="W5" s="33"/>
      <c r="X5" s="33"/>
    </row>
    <row r="6" spans="1:24">
      <c r="A6" s="1"/>
      <c r="B6" s="25"/>
      <c r="C6" s="1"/>
      <c r="D6" s="25"/>
      <c r="E6" s="22"/>
      <c r="F6" s="50"/>
      <c r="G6" s="22"/>
      <c r="H6" s="22"/>
      <c r="I6" s="1"/>
      <c r="J6" s="22"/>
      <c r="K6" s="1"/>
      <c r="L6" s="8"/>
      <c r="U6" s="1"/>
      <c r="V6" s="33"/>
      <c r="W6" s="33"/>
      <c r="X6" s="33"/>
    </row>
    <row r="7" spans="1:24">
      <c r="A7" s="1"/>
      <c r="B7" s="25"/>
      <c r="C7" s="1"/>
      <c r="D7" s="25"/>
      <c r="E7" s="22"/>
      <c r="F7" s="50"/>
      <c r="G7" s="22"/>
      <c r="H7" s="22"/>
      <c r="I7" s="1"/>
      <c r="J7" s="22"/>
      <c r="K7" s="1"/>
      <c r="L7" s="8"/>
      <c r="U7" s="1"/>
      <c r="V7" s="33"/>
      <c r="W7" s="33"/>
      <c r="X7" s="33"/>
    </row>
    <row r="8" spans="1:24">
      <c r="A8" s="1"/>
      <c r="B8" s="25"/>
      <c r="C8" s="1"/>
      <c r="D8" s="25"/>
      <c r="E8" s="22"/>
      <c r="F8" s="50"/>
      <c r="G8" s="22"/>
      <c r="H8" s="22"/>
      <c r="I8" s="1"/>
      <c r="J8" s="22"/>
      <c r="K8" s="1"/>
      <c r="L8" s="8"/>
    </row>
    <row r="9" spans="1:24">
      <c r="A9" s="1"/>
      <c r="B9" s="25"/>
      <c r="C9" s="1"/>
      <c r="D9" s="25"/>
      <c r="E9" s="22"/>
      <c r="F9" s="50"/>
      <c r="G9" s="22"/>
      <c r="H9" s="22"/>
      <c r="I9" s="1"/>
      <c r="J9" s="22"/>
      <c r="K9" s="1"/>
      <c r="L9" s="8"/>
    </row>
    <row r="10" spans="1:24">
      <c r="A10" s="1"/>
      <c r="B10" s="25"/>
      <c r="C10" s="1"/>
      <c r="D10" s="25"/>
      <c r="E10" s="22"/>
      <c r="F10" s="50"/>
      <c r="G10" s="22"/>
      <c r="H10" s="22"/>
      <c r="I10" s="1"/>
      <c r="J10" s="22"/>
      <c r="K10" s="1"/>
      <c r="L10" s="8"/>
    </row>
    <row r="11" spans="1:24">
      <c r="A11" s="1"/>
      <c r="B11" s="25"/>
      <c r="C11" s="1"/>
      <c r="D11" s="25"/>
      <c r="E11" s="22"/>
      <c r="F11" s="50"/>
      <c r="G11" s="22"/>
      <c r="H11" s="22"/>
      <c r="I11" s="1"/>
      <c r="J11" s="22"/>
      <c r="K11" s="1"/>
      <c r="L11" s="8"/>
    </row>
    <row r="12" spans="1:24">
      <c r="A12" s="1"/>
      <c r="B12" s="25"/>
      <c r="C12" s="1"/>
      <c r="D12" s="25"/>
      <c r="E12" s="22"/>
      <c r="F12" s="50"/>
      <c r="G12" s="22"/>
      <c r="H12" s="22"/>
      <c r="I12" s="1"/>
      <c r="J12" s="22"/>
      <c r="K12" s="1"/>
      <c r="L12" s="8"/>
    </row>
    <row r="13" spans="1:24">
      <c r="A13" s="1"/>
      <c r="B13" s="25"/>
      <c r="C13" s="1"/>
      <c r="D13" s="25"/>
      <c r="E13" s="22"/>
      <c r="F13" s="50"/>
      <c r="G13" s="22"/>
      <c r="H13" s="22"/>
      <c r="I13" s="1"/>
      <c r="J13" s="22"/>
      <c r="K13" s="1"/>
      <c r="L13" s="8"/>
    </row>
    <row r="14" spans="1:24">
      <c r="A14" s="1"/>
      <c r="B14" s="25"/>
      <c r="C14" s="1"/>
      <c r="D14" s="25"/>
      <c r="E14" s="22"/>
      <c r="F14" s="50"/>
      <c r="G14" s="22"/>
      <c r="H14" s="22"/>
      <c r="I14" s="1"/>
      <c r="J14" s="22"/>
      <c r="K14" s="1"/>
      <c r="L14" s="8"/>
    </row>
    <row r="15" spans="1:24">
      <c r="A15" s="1"/>
      <c r="B15" s="25"/>
      <c r="C15" s="1"/>
      <c r="D15" s="25"/>
      <c r="E15" s="22"/>
      <c r="F15" s="50"/>
      <c r="G15" s="22"/>
      <c r="H15" s="22"/>
      <c r="I15" s="1"/>
      <c r="J15" s="22"/>
      <c r="K15" s="1"/>
      <c r="L15" s="8"/>
    </row>
    <row r="16" spans="1:24">
      <c r="A16" s="1"/>
      <c r="B16" s="25"/>
      <c r="C16" s="1"/>
      <c r="D16" s="25"/>
      <c r="E16" s="22"/>
      <c r="F16" s="50"/>
      <c r="G16" s="22"/>
      <c r="H16" s="22"/>
      <c r="I16" s="1"/>
      <c r="J16" s="22"/>
      <c r="K16" s="1"/>
      <c r="L16" s="8"/>
    </row>
    <row r="17" spans="1:12">
      <c r="A17" s="1"/>
      <c r="B17" s="25"/>
      <c r="C17" s="1"/>
      <c r="D17" s="25"/>
      <c r="E17" s="22"/>
      <c r="F17" s="50"/>
      <c r="G17" s="22"/>
      <c r="H17" s="22"/>
      <c r="I17" s="1"/>
      <c r="J17" s="22"/>
      <c r="K17" s="1"/>
      <c r="L17" s="8"/>
    </row>
    <row r="18" spans="1:12">
      <c r="A18" s="1"/>
      <c r="B18" s="25"/>
      <c r="C18" s="1"/>
      <c r="D18" s="25"/>
      <c r="E18" s="22"/>
      <c r="F18" s="50"/>
      <c r="G18" s="22"/>
      <c r="H18" s="22"/>
      <c r="I18" s="1"/>
      <c r="J18" s="22"/>
      <c r="K18" s="1"/>
      <c r="L18" s="8"/>
    </row>
    <row r="19" spans="1:12">
      <c r="A19" s="1"/>
      <c r="B19" s="25"/>
      <c r="C19" s="1"/>
      <c r="D19" s="25"/>
      <c r="E19" s="22"/>
      <c r="F19" s="50"/>
      <c r="G19" s="22"/>
      <c r="H19" s="22"/>
      <c r="I19" s="1"/>
      <c r="J19" s="22"/>
      <c r="K19" s="1"/>
      <c r="L19" s="8"/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AD33"/>
  <sheetViews>
    <sheetView workbookViewId="0">
      <pane xSplit="2" ySplit="1" topLeftCell="C2" activePane="bottomRight" state="frozenSplit"/>
      <selection pane="topRight" activeCell="C1" sqref="C1"/>
      <selection pane="bottomLeft" activeCell="A2" sqref="A2"/>
      <selection pane="bottomRight" activeCell="A2" sqref="A2:R7"/>
    </sheetView>
  </sheetViews>
  <sheetFormatPr defaultRowHeight="16.5"/>
  <cols>
    <col min="2" max="2" width="11.375" bestFit="1" customWidth="1"/>
    <col min="3" max="3" width="11.125" customWidth="1"/>
    <col min="4" max="4" width="11.25" bestFit="1" customWidth="1"/>
    <col min="5" max="5" width="11.25" customWidth="1"/>
    <col min="8" max="8" width="10.25" customWidth="1"/>
    <col min="9" max="9" width="10.75" customWidth="1"/>
    <col min="11" max="11" width="11.125" bestFit="1" customWidth="1"/>
    <col min="13" max="13" width="7.375" customWidth="1"/>
    <col min="14" max="14" width="7.875" customWidth="1"/>
    <col min="15" max="15" width="9.25" customWidth="1"/>
    <col min="16" max="16" width="10.125" style="28" bestFit="1" customWidth="1"/>
    <col min="17" max="17" width="11.625" style="28" customWidth="1"/>
    <col min="18" max="18" width="10.125" style="28" bestFit="1" customWidth="1"/>
    <col min="20" max="20" width="10" customWidth="1"/>
    <col min="21" max="21" width="11" customWidth="1"/>
    <col min="22" max="22" width="10" customWidth="1"/>
  </cols>
  <sheetData>
    <row r="1" spans="1:30">
      <c r="A1" s="21" t="s">
        <v>52</v>
      </c>
      <c r="B1" s="21" t="s">
        <v>53</v>
      </c>
      <c r="C1" s="21" t="s">
        <v>54</v>
      </c>
      <c r="D1" s="21" t="s">
        <v>55</v>
      </c>
      <c r="E1" s="21" t="s">
        <v>56</v>
      </c>
      <c r="F1" s="21" t="s">
        <v>57</v>
      </c>
      <c r="G1" s="21" t="s">
        <v>58</v>
      </c>
      <c r="H1" s="21" t="s">
        <v>59</v>
      </c>
      <c r="I1" s="21" t="s">
        <v>60</v>
      </c>
      <c r="J1" s="21" t="s">
        <v>61</v>
      </c>
      <c r="K1" s="21" t="s">
        <v>62</v>
      </c>
      <c r="L1" s="21" t="s">
        <v>0</v>
      </c>
      <c r="M1" s="21" t="s">
        <v>1</v>
      </c>
      <c r="N1" s="21" t="s">
        <v>63</v>
      </c>
      <c r="O1" s="21" t="s">
        <v>64</v>
      </c>
      <c r="P1" s="31" t="s">
        <v>65</v>
      </c>
      <c r="Q1" s="32" t="s">
        <v>66</v>
      </c>
      <c r="R1" s="32" t="s">
        <v>67</v>
      </c>
    </row>
    <row r="2" spans="1:30">
      <c r="A2" s="44"/>
      <c r="B2" s="45"/>
      <c r="C2" s="44"/>
      <c r="D2" s="45"/>
      <c r="E2" s="46"/>
      <c r="F2" s="50"/>
      <c r="G2" s="46"/>
      <c r="H2" s="46"/>
      <c r="I2" s="1"/>
      <c r="J2" s="46"/>
      <c r="K2" s="1"/>
      <c r="L2" s="5"/>
      <c r="M2" s="47"/>
      <c r="N2" s="5"/>
      <c r="O2" s="46"/>
      <c r="T2" s="28">
        <v>0</v>
      </c>
      <c r="U2" s="28">
        <v>0</v>
      </c>
      <c r="V2" s="28">
        <v>0</v>
      </c>
      <c r="AB2" s="28">
        <v>-1.0233210800340792E-3</v>
      </c>
      <c r="AC2" s="28">
        <v>-4.0588175819769136E-5</v>
      </c>
      <c r="AD2" s="28">
        <v>-0.18757888573262937</v>
      </c>
    </row>
    <row r="3" spans="1:30">
      <c r="A3" s="44"/>
      <c r="B3" s="45"/>
      <c r="C3" s="44"/>
      <c r="D3" s="45"/>
      <c r="E3" s="46"/>
      <c r="F3" s="50"/>
      <c r="G3" s="46"/>
      <c r="H3" s="46"/>
      <c r="I3" s="1"/>
      <c r="J3" s="46"/>
      <c r="K3" s="1"/>
      <c r="L3" s="5"/>
      <c r="M3" s="47"/>
      <c r="N3" s="5"/>
      <c r="O3" s="46"/>
      <c r="T3" s="28">
        <v>0</v>
      </c>
      <c r="U3" s="28">
        <v>0</v>
      </c>
      <c r="V3" s="28">
        <v>0</v>
      </c>
      <c r="AB3" s="28">
        <v>-1.06352763947334E-3</v>
      </c>
      <c r="AC3" s="28">
        <v>-6.6376042217479864E-2</v>
      </c>
      <c r="AD3" s="28">
        <v>-0.2457408566438804</v>
      </c>
    </row>
    <row r="4" spans="1:30">
      <c r="A4" s="44"/>
      <c r="B4" s="45"/>
      <c r="C4" s="44"/>
      <c r="D4" s="45"/>
      <c r="E4" s="46"/>
      <c r="F4" s="50"/>
      <c r="G4" s="46"/>
      <c r="H4" s="46"/>
      <c r="I4" s="1"/>
      <c r="J4" s="46"/>
      <c r="K4" s="1"/>
      <c r="L4" s="5"/>
      <c r="M4" s="47"/>
      <c r="N4" s="5"/>
      <c r="O4" s="46"/>
      <c r="T4" s="28">
        <v>0</v>
      </c>
      <c r="U4" s="28">
        <v>0</v>
      </c>
      <c r="V4" s="28">
        <v>0</v>
      </c>
      <c r="AB4" s="28">
        <v>-3.5454812407478419E-4</v>
      </c>
      <c r="AC4" s="28">
        <v>-7.5492741341813335E-4</v>
      </c>
      <c r="AD4" s="28">
        <v>-0.28408211503399095</v>
      </c>
    </row>
    <row r="5" spans="1:30">
      <c r="A5" s="44"/>
      <c r="B5" s="45"/>
      <c r="C5" s="44"/>
      <c r="D5" s="45"/>
      <c r="E5" s="46"/>
      <c r="F5" s="50"/>
      <c r="G5" s="46"/>
      <c r="H5" s="46"/>
      <c r="I5" s="1"/>
      <c r="J5" s="46"/>
      <c r="K5" s="1"/>
      <c r="L5" s="5"/>
      <c r="M5" s="47"/>
      <c r="N5" s="5"/>
      <c r="O5" s="46"/>
      <c r="AB5" s="28">
        <v>-1.6344210402364927E-2</v>
      </c>
      <c r="AC5" s="28">
        <v>0.23647834855944624</v>
      </c>
      <c r="AD5" s="28">
        <v>-0.32147200444983676</v>
      </c>
    </row>
    <row r="6" spans="1:30">
      <c r="A6" s="44"/>
      <c r="B6" s="45"/>
      <c r="C6" s="44"/>
      <c r="D6" s="45"/>
      <c r="E6" s="46"/>
      <c r="F6" s="50"/>
      <c r="G6" s="46"/>
      <c r="H6" s="46"/>
      <c r="I6" s="1"/>
      <c r="J6" s="46"/>
      <c r="K6" s="1"/>
      <c r="L6" s="5"/>
      <c r="M6" s="47"/>
      <c r="N6" s="5"/>
      <c r="O6" s="46"/>
      <c r="AB6" s="28">
        <v>-7.7014272081288293E-4</v>
      </c>
      <c r="AC6" s="28">
        <v>2.5612402106843662E-2</v>
      </c>
      <c r="AD6" s="28">
        <v>-0.18878937349119523</v>
      </c>
    </row>
    <row r="7" spans="1:30">
      <c r="A7" s="44"/>
      <c r="B7" s="45"/>
      <c r="C7" s="44"/>
      <c r="D7" s="45"/>
      <c r="E7" s="46"/>
      <c r="F7" s="50"/>
      <c r="G7" s="46"/>
      <c r="H7" s="46"/>
      <c r="I7" s="1"/>
      <c r="J7" s="46"/>
      <c r="K7" s="1"/>
      <c r="L7" s="5"/>
      <c r="M7" s="47"/>
      <c r="N7" s="5"/>
      <c r="O7" s="46"/>
      <c r="AB7" s="28">
        <v>-6.2965197620390434E-3</v>
      </c>
      <c r="AC7" s="28">
        <v>-0.87094881203064745</v>
      </c>
      <c r="AD7" s="28">
        <v>-0.22375741545627298</v>
      </c>
    </row>
    <row r="8" spans="1:30">
      <c r="A8" s="44"/>
      <c r="B8" s="45"/>
      <c r="C8" s="44"/>
      <c r="D8" s="45"/>
      <c r="E8" s="46"/>
      <c r="F8" s="50"/>
      <c r="G8" s="46"/>
      <c r="H8" s="46"/>
      <c r="I8" s="1"/>
      <c r="J8" s="46"/>
      <c r="K8" s="1"/>
      <c r="L8" s="5"/>
      <c r="M8" s="47"/>
      <c r="N8" s="5"/>
      <c r="O8" s="46"/>
      <c r="AB8" s="28"/>
      <c r="AC8" s="28"/>
      <c r="AD8" s="28"/>
    </row>
    <row r="9" spans="1:30">
      <c r="A9" s="44"/>
      <c r="B9" s="45"/>
      <c r="C9" s="44"/>
      <c r="D9" s="45"/>
      <c r="E9" s="46"/>
      <c r="F9" s="50"/>
      <c r="G9" s="46"/>
      <c r="H9" s="46"/>
      <c r="I9" s="1"/>
      <c r="J9" s="46"/>
      <c r="K9" s="1"/>
      <c r="L9" s="5"/>
      <c r="M9" s="47"/>
      <c r="N9" s="5"/>
      <c r="O9" s="46"/>
      <c r="AB9" s="28"/>
      <c r="AC9" s="28"/>
      <c r="AD9" s="28"/>
    </row>
    <row r="10" spans="1:30">
      <c r="A10" s="44"/>
      <c r="B10" s="45"/>
      <c r="C10" s="44"/>
      <c r="D10" s="45"/>
      <c r="E10" s="46"/>
      <c r="F10" s="50"/>
      <c r="G10" s="46"/>
      <c r="H10" s="46"/>
      <c r="I10" s="1"/>
      <c r="J10" s="46"/>
      <c r="K10" s="1"/>
      <c r="L10" s="5"/>
      <c r="M10" s="47"/>
      <c r="N10" s="5"/>
      <c r="O10" s="46"/>
      <c r="AB10" s="28"/>
      <c r="AC10" s="28"/>
      <c r="AD10" s="28"/>
    </row>
    <row r="11" spans="1:30">
      <c r="A11" s="44"/>
      <c r="B11" s="45"/>
      <c r="C11" s="44"/>
      <c r="D11" s="45"/>
      <c r="E11" s="46"/>
      <c r="F11" s="50"/>
      <c r="G11" s="46"/>
      <c r="H11" s="46"/>
      <c r="I11" s="1"/>
      <c r="J11" s="46"/>
      <c r="K11" s="1"/>
      <c r="L11" s="5"/>
      <c r="M11" s="47"/>
      <c r="N11" s="5"/>
      <c r="O11" s="46"/>
      <c r="AB11" s="28"/>
      <c r="AC11" s="28"/>
      <c r="AD11" s="28"/>
    </row>
    <row r="12" spans="1:30">
      <c r="A12" s="44"/>
      <c r="B12" s="45"/>
      <c r="C12" s="44"/>
      <c r="D12" s="45"/>
      <c r="E12" s="46"/>
      <c r="F12" s="50"/>
      <c r="G12" s="46"/>
      <c r="H12" s="46"/>
      <c r="I12" s="1"/>
      <c r="J12" s="46"/>
      <c r="K12" s="1"/>
      <c r="L12" s="5"/>
      <c r="M12" s="47"/>
      <c r="N12" s="5"/>
      <c r="O12" s="46"/>
      <c r="AB12" s="28"/>
      <c r="AC12" s="28"/>
      <c r="AD12" s="28"/>
    </row>
    <row r="13" spans="1:30">
      <c r="A13" s="44"/>
      <c r="B13" s="45"/>
      <c r="C13" s="44"/>
      <c r="D13" s="45"/>
      <c r="E13" s="46"/>
      <c r="F13" s="50"/>
      <c r="G13" s="46"/>
      <c r="H13" s="46"/>
      <c r="I13" s="1"/>
      <c r="J13" s="46"/>
      <c r="K13" s="1"/>
      <c r="L13" s="5"/>
      <c r="M13" s="47"/>
      <c r="N13" s="5"/>
      <c r="O13" s="46"/>
      <c r="AB13" s="28"/>
      <c r="AC13" s="28"/>
      <c r="AD13" s="28"/>
    </row>
    <row r="14" spans="1:30">
      <c r="A14" s="44"/>
      <c r="B14" s="45"/>
      <c r="C14" s="44"/>
      <c r="D14" s="45"/>
      <c r="E14" s="46"/>
      <c r="F14" s="50"/>
      <c r="G14" s="46"/>
      <c r="H14" s="46"/>
      <c r="I14" s="1"/>
      <c r="J14" s="46"/>
      <c r="K14" s="1"/>
      <c r="L14" s="5"/>
      <c r="M14" s="47"/>
      <c r="N14" s="5"/>
      <c r="O14" s="46"/>
      <c r="AB14" s="28"/>
      <c r="AC14" s="28"/>
      <c r="AD14" s="28"/>
    </row>
    <row r="15" spans="1:30">
      <c r="A15" s="44"/>
      <c r="B15" s="45"/>
      <c r="C15" s="44"/>
      <c r="D15" s="45"/>
      <c r="E15" s="46"/>
      <c r="F15" s="50"/>
      <c r="G15" s="46"/>
      <c r="H15" s="46"/>
      <c r="I15" s="1"/>
      <c r="J15" s="46"/>
      <c r="K15" s="1"/>
      <c r="L15" s="5"/>
      <c r="M15" s="47"/>
      <c r="N15" s="5"/>
      <c r="O15" s="46"/>
      <c r="AB15" s="28"/>
      <c r="AC15" s="28"/>
      <c r="AD15" s="28"/>
    </row>
    <row r="16" spans="1:30">
      <c r="A16" s="44"/>
      <c r="B16" s="45"/>
      <c r="C16" s="44"/>
      <c r="D16" s="45"/>
      <c r="E16" s="46"/>
      <c r="F16" s="50"/>
      <c r="G16" s="46"/>
      <c r="H16" s="46"/>
      <c r="I16" s="1"/>
      <c r="J16" s="46"/>
      <c r="K16" s="1"/>
      <c r="L16" s="5"/>
      <c r="M16" s="47"/>
      <c r="N16" s="5"/>
      <c r="O16" s="46"/>
      <c r="AB16" s="28"/>
      <c r="AC16" s="28"/>
      <c r="AD16" s="28"/>
    </row>
    <row r="17" spans="1:30">
      <c r="A17" s="44"/>
      <c r="B17" s="45"/>
      <c r="C17" s="44"/>
      <c r="D17" s="45"/>
      <c r="E17" s="46"/>
      <c r="F17" s="50"/>
      <c r="G17" s="46"/>
      <c r="H17" s="46"/>
      <c r="I17" s="1"/>
      <c r="J17" s="46"/>
      <c r="K17" s="1"/>
      <c r="L17" s="5"/>
      <c r="M17" s="47"/>
      <c r="N17" s="5"/>
      <c r="O17" s="46"/>
      <c r="AB17" s="28"/>
      <c r="AC17" s="28"/>
      <c r="AD17" s="28"/>
    </row>
    <row r="18" spans="1:30">
      <c r="A18" s="44"/>
      <c r="B18" s="45"/>
      <c r="C18" s="44"/>
      <c r="D18" s="45"/>
      <c r="E18" s="46"/>
      <c r="F18" s="50"/>
      <c r="G18" s="46"/>
      <c r="H18" s="46"/>
      <c r="I18" s="1"/>
      <c r="J18" s="46"/>
      <c r="K18" s="1"/>
      <c r="L18" s="5"/>
      <c r="M18" s="47"/>
      <c r="N18" s="5"/>
      <c r="O18" s="46"/>
      <c r="AB18" s="28"/>
      <c r="AC18" s="28"/>
      <c r="AD18" s="28"/>
    </row>
    <row r="19" spans="1:30">
      <c r="A19" s="44"/>
      <c r="B19" s="45"/>
      <c r="C19" s="44"/>
      <c r="D19" s="45"/>
      <c r="E19" s="46"/>
      <c r="F19" s="50"/>
      <c r="G19" s="46"/>
      <c r="H19" s="46"/>
      <c r="I19" s="1"/>
      <c r="J19" s="46"/>
      <c r="K19" s="1"/>
      <c r="L19" s="5"/>
      <c r="M19" s="47"/>
      <c r="N19" s="5"/>
      <c r="O19" s="46"/>
      <c r="AB19" s="28"/>
      <c r="AC19" s="28"/>
      <c r="AD19" s="28"/>
    </row>
    <row r="20" spans="1:30">
      <c r="A20" s="44"/>
      <c r="B20" s="45"/>
      <c r="C20" s="44"/>
      <c r="D20" s="45"/>
      <c r="E20" s="46"/>
      <c r="F20" s="50"/>
      <c r="G20" s="46"/>
      <c r="H20" s="46"/>
      <c r="I20" s="1"/>
      <c r="J20" s="46"/>
      <c r="K20" s="1"/>
      <c r="L20" s="5"/>
      <c r="M20" s="47"/>
      <c r="N20" s="5"/>
      <c r="O20" s="46"/>
    </row>
    <row r="21" spans="1:30">
      <c r="A21" s="44"/>
      <c r="B21" s="45"/>
      <c r="C21" s="44"/>
      <c r="D21" s="45"/>
      <c r="E21" s="46"/>
      <c r="F21" s="50"/>
      <c r="G21" s="46"/>
      <c r="H21" s="46"/>
      <c r="I21" s="1"/>
      <c r="J21" s="46"/>
      <c r="K21" s="1"/>
      <c r="L21" s="5"/>
      <c r="M21" s="47"/>
      <c r="N21" s="5"/>
      <c r="O21" s="46"/>
    </row>
    <row r="22" spans="1:30">
      <c r="A22" s="44"/>
      <c r="B22" s="45"/>
      <c r="C22" s="44"/>
      <c r="D22" s="45"/>
      <c r="E22" s="46"/>
      <c r="F22" s="50"/>
      <c r="G22" s="46"/>
      <c r="H22" s="46"/>
      <c r="I22" s="1"/>
      <c r="J22" s="46"/>
      <c r="K22" s="1"/>
      <c r="L22" s="5"/>
      <c r="M22" s="47"/>
      <c r="N22" s="5"/>
      <c r="O22" s="46"/>
    </row>
    <row r="23" spans="1:30">
      <c r="A23" s="44"/>
      <c r="B23" s="45"/>
      <c r="C23" s="44"/>
      <c r="D23" s="45"/>
      <c r="E23" s="46"/>
      <c r="F23" s="50"/>
      <c r="G23" s="46"/>
      <c r="H23" s="46"/>
      <c r="I23" s="1"/>
      <c r="J23" s="46"/>
      <c r="K23" s="1"/>
      <c r="L23" s="5"/>
      <c r="M23" s="47"/>
      <c r="N23" s="5"/>
      <c r="O23" s="46"/>
    </row>
    <row r="24" spans="1:30">
      <c r="A24" s="44"/>
      <c r="B24" s="45"/>
      <c r="C24" s="44"/>
      <c r="D24" s="45"/>
      <c r="E24" s="46"/>
      <c r="F24" s="50"/>
      <c r="G24" s="46"/>
      <c r="H24" s="46"/>
      <c r="I24" s="1"/>
      <c r="J24" s="46"/>
      <c r="K24" s="1"/>
      <c r="L24" s="5"/>
      <c r="M24" s="47"/>
      <c r="N24" s="5"/>
      <c r="O24" s="46"/>
    </row>
    <row r="25" spans="1:30">
      <c r="A25" s="44"/>
      <c r="B25" s="45"/>
      <c r="C25" s="44"/>
      <c r="D25" s="45"/>
      <c r="E25" s="46"/>
      <c r="F25" s="50"/>
      <c r="G25" s="46"/>
      <c r="H25" s="46"/>
      <c r="I25" s="1"/>
      <c r="J25" s="46"/>
      <c r="K25" s="1"/>
      <c r="L25" s="5"/>
      <c r="M25" s="47"/>
      <c r="N25" s="5"/>
      <c r="O25" s="46"/>
    </row>
    <row r="26" spans="1:30">
      <c r="M26" s="2"/>
      <c r="N26" s="2"/>
    </row>
    <row r="27" spans="1:30">
      <c r="M27" s="2"/>
      <c r="N27" s="2"/>
    </row>
    <row r="28" spans="1:30">
      <c r="M28" s="2"/>
      <c r="N28" s="2"/>
    </row>
    <row r="29" spans="1:30">
      <c r="M29" s="2"/>
      <c r="N29" s="2"/>
    </row>
    <row r="30" spans="1:30">
      <c r="M30" s="2"/>
      <c r="N30" s="2"/>
    </row>
    <row r="31" spans="1:30">
      <c r="M31" s="2"/>
      <c r="N31" s="2"/>
    </row>
    <row r="32" spans="1:30">
      <c r="M32" s="2"/>
      <c r="N32" s="2"/>
    </row>
    <row r="33" spans="13:14">
      <c r="M33" s="2"/>
      <c r="N33" s="2"/>
    </row>
  </sheetData>
  <phoneticPr fontId="2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O73"/>
  <sheetViews>
    <sheetView workbookViewId="0">
      <pane xSplit="2" ySplit="1" topLeftCell="C2" activePane="bottomRight" state="frozenSplit"/>
      <selection pane="topRight" activeCell="C1" sqref="C1"/>
      <selection pane="bottomLeft"/>
      <selection pane="bottomRight" activeCell="T8" sqref="T8"/>
    </sheetView>
  </sheetViews>
  <sheetFormatPr defaultRowHeight="16.5"/>
  <cols>
    <col min="2" max="2" width="11.375" bestFit="1" customWidth="1"/>
    <col min="4" max="4" width="11.875" customWidth="1"/>
    <col min="5" max="5" width="8" customWidth="1"/>
    <col min="8" max="8" width="10" customWidth="1"/>
    <col min="9" max="9" width="15.75" customWidth="1"/>
    <col min="11" max="11" width="11.125" bestFit="1" customWidth="1"/>
    <col min="14" max="14" width="9" style="24"/>
  </cols>
  <sheetData>
    <row r="1" spans="1:14">
      <c r="A1" s="21" t="s">
        <v>68</v>
      </c>
      <c r="B1" s="21" t="s">
        <v>69</v>
      </c>
      <c r="C1" s="21" t="s">
        <v>70</v>
      </c>
      <c r="D1" s="21" t="s">
        <v>71</v>
      </c>
      <c r="E1" s="21" t="s">
        <v>40</v>
      </c>
      <c r="F1" s="21" t="s">
        <v>72</v>
      </c>
      <c r="G1" s="21" t="s">
        <v>73</v>
      </c>
      <c r="H1" s="21" t="s">
        <v>59</v>
      </c>
      <c r="I1" s="21" t="s">
        <v>74</v>
      </c>
      <c r="J1" s="21" t="s">
        <v>75</v>
      </c>
      <c r="K1" s="21" t="s">
        <v>76</v>
      </c>
      <c r="L1" s="21" t="s">
        <v>77</v>
      </c>
      <c r="M1" s="21" t="s">
        <v>77</v>
      </c>
      <c r="N1" s="23" t="s">
        <v>78</v>
      </c>
    </row>
    <row r="2" spans="1:14">
      <c r="A2" s="1"/>
      <c r="B2" s="25"/>
      <c r="C2" s="1"/>
      <c r="D2" s="25"/>
      <c r="E2" s="22"/>
      <c r="F2" s="50"/>
      <c r="G2" s="22"/>
      <c r="H2" s="22"/>
      <c r="I2" s="1"/>
      <c r="J2" s="22"/>
      <c r="K2" s="1"/>
      <c r="L2" s="5"/>
      <c r="M2" s="5"/>
      <c r="N2" s="30"/>
    </row>
    <row r="3" spans="1:14">
      <c r="A3" s="1"/>
      <c r="B3" s="25"/>
      <c r="C3" s="1"/>
      <c r="D3" s="25"/>
      <c r="E3" s="22"/>
      <c r="F3" s="50"/>
      <c r="G3" s="22"/>
      <c r="H3" s="22"/>
      <c r="I3" s="1"/>
      <c r="J3" s="22"/>
      <c r="K3" s="1"/>
      <c r="L3" s="5"/>
      <c r="M3" s="5"/>
      <c r="N3" s="30"/>
    </row>
    <row r="4" spans="1:14">
      <c r="A4" s="1"/>
      <c r="B4" s="25"/>
      <c r="C4" s="1"/>
      <c r="D4" s="25"/>
      <c r="E4" s="22"/>
      <c r="F4" s="50"/>
      <c r="G4" s="22"/>
      <c r="H4" s="22"/>
      <c r="I4" s="1"/>
      <c r="J4" s="22"/>
      <c r="K4" s="1"/>
      <c r="L4" s="5"/>
      <c r="M4" s="5"/>
      <c r="N4" s="30"/>
    </row>
    <row r="5" spans="1:14">
      <c r="A5" s="1"/>
      <c r="B5" s="25"/>
      <c r="C5" s="1"/>
      <c r="D5" s="25"/>
      <c r="E5" s="22"/>
      <c r="F5" s="50"/>
      <c r="G5" s="22"/>
      <c r="H5" s="22"/>
      <c r="I5" s="1"/>
      <c r="J5" s="22"/>
      <c r="K5" s="1"/>
      <c r="L5" s="5"/>
      <c r="M5" s="5"/>
      <c r="N5" s="30"/>
    </row>
    <row r="6" spans="1:14">
      <c r="A6" s="1"/>
      <c r="B6" s="25"/>
      <c r="C6" s="1"/>
      <c r="D6" s="25"/>
      <c r="E6" s="22"/>
      <c r="F6" s="50"/>
      <c r="G6" s="22"/>
      <c r="H6" s="22"/>
      <c r="I6" s="1"/>
      <c r="J6" s="22"/>
      <c r="K6" s="1"/>
      <c r="L6" s="5"/>
      <c r="M6" s="5"/>
      <c r="N6" s="30"/>
    </row>
    <row r="7" spans="1:14">
      <c r="A7" s="1"/>
      <c r="B7" s="25"/>
      <c r="C7" s="1"/>
      <c r="D7" s="25"/>
      <c r="E7" s="22"/>
      <c r="F7" s="50"/>
      <c r="G7" s="22"/>
      <c r="H7" s="22"/>
      <c r="I7" s="1"/>
      <c r="J7" s="22"/>
      <c r="K7" s="1"/>
      <c r="L7" s="5"/>
      <c r="M7" s="5"/>
      <c r="N7" s="30"/>
    </row>
    <row r="8" spans="1:14">
      <c r="A8" s="1"/>
      <c r="B8" s="25"/>
      <c r="C8" s="1"/>
      <c r="D8" s="25"/>
      <c r="E8" s="22"/>
      <c r="F8" s="50"/>
      <c r="G8" s="22"/>
      <c r="H8" s="22"/>
      <c r="I8" s="1"/>
      <c r="J8" s="22"/>
      <c r="K8" s="1"/>
      <c r="L8" s="5"/>
      <c r="M8" s="5"/>
      <c r="N8" s="30"/>
    </row>
    <row r="9" spans="1:14">
      <c r="A9" s="1"/>
      <c r="B9" s="25"/>
      <c r="C9" s="1"/>
      <c r="D9" s="25"/>
      <c r="E9" s="22"/>
      <c r="F9" s="50"/>
      <c r="G9" s="22"/>
      <c r="H9" s="22"/>
      <c r="I9" s="1"/>
      <c r="J9" s="22"/>
      <c r="K9" s="1"/>
      <c r="L9" s="5"/>
      <c r="M9" s="5"/>
      <c r="N9" s="30"/>
    </row>
    <row r="10" spans="1:14">
      <c r="A10" s="1"/>
      <c r="B10" s="25"/>
      <c r="C10" s="1"/>
      <c r="D10" s="25"/>
      <c r="E10" s="22"/>
      <c r="F10" s="50"/>
      <c r="G10" s="22"/>
      <c r="H10" s="22"/>
      <c r="I10" s="1"/>
      <c r="J10" s="22"/>
      <c r="K10" s="1"/>
      <c r="L10" s="5"/>
      <c r="M10" s="5"/>
      <c r="N10" s="30"/>
    </row>
    <row r="11" spans="1:14">
      <c r="A11" s="1"/>
      <c r="B11" s="25"/>
      <c r="C11" s="1"/>
      <c r="D11" s="25"/>
      <c r="E11" s="22"/>
      <c r="F11" s="50"/>
      <c r="G11" s="22"/>
      <c r="H11" s="22"/>
      <c r="I11" s="1"/>
      <c r="J11" s="22"/>
      <c r="K11" s="1"/>
      <c r="L11" s="5"/>
      <c r="M11" s="5"/>
      <c r="N11" s="30"/>
    </row>
    <row r="12" spans="1:14">
      <c r="A12" s="1"/>
      <c r="B12" s="25"/>
      <c r="C12" s="1"/>
      <c r="D12" s="25"/>
      <c r="E12" s="22"/>
      <c r="F12" s="50"/>
      <c r="G12" s="22"/>
      <c r="H12" s="22"/>
      <c r="I12" s="1"/>
      <c r="J12" s="22"/>
      <c r="K12" s="1"/>
      <c r="L12" s="5"/>
      <c r="M12" s="5"/>
      <c r="N12" s="30"/>
    </row>
    <row r="13" spans="1:14">
      <c r="A13" s="1"/>
      <c r="B13" s="25"/>
      <c r="C13" s="1"/>
      <c r="D13" s="25"/>
      <c r="E13" s="22"/>
      <c r="F13" s="50"/>
      <c r="G13" s="22"/>
      <c r="H13" s="22"/>
      <c r="I13" s="1"/>
      <c r="J13" s="22"/>
      <c r="K13" s="1"/>
      <c r="L13" s="5"/>
      <c r="M13" s="5"/>
      <c r="N13" s="30"/>
    </row>
    <row r="14" spans="1:14">
      <c r="A14" s="1"/>
      <c r="B14" s="25"/>
      <c r="C14" s="1"/>
      <c r="D14" s="25"/>
      <c r="E14" s="22"/>
      <c r="F14" s="50"/>
      <c r="G14" s="22"/>
      <c r="H14" s="22"/>
      <c r="I14" s="1"/>
      <c r="J14" s="22"/>
      <c r="K14" s="1"/>
      <c r="L14" s="5"/>
      <c r="M14" s="5"/>
      <c r="N14" s="30"/>
    </row>
    <row r="15" spans="1:14">
      <c r="A15" s="1"/>
      <c r="B15" s="25"/>
      <c r="C15" s="1"/>
      <c r="D15" s="25"/>
      <c r="E15" s="22"/>
      <c r="F15" s="50"/>
      <c r="G15" s="22"/>
      <c r="H15" s="22"/>
      <c r="I15" s="1"/>
      <c r="J15" s="22"/>
      <c r="K15" s="1"/>
      <c r="L15" s="5"/>
      <c r="M15" s="5"/>
      <c r="N15" s="30"/>
    </row>
    <row r="16" spans="1:14">
      <c r="A16" s="1"/>
      <c r="B16" s="25"/>
      <c r="C16" s="1"/>
      <c r="D16" s="25"/>
      <c r="E16" s="22"/>
      <c r="F16" s="50"/>
      <c r="G16" s="22"/>
      <c r="H16" s="22"/>
      <c r="I16" s="1"/>
      <c r="J16" s="22"/>
      <c r="K16" s="1"/>
      <c r="L16" s="5"/>
      <c r="M16" s="5"/>
      <c r="N16" s="30"/>
    </row>
    <row r="17" spans="1:15">
      <c r="A17" s="1"/>
      <c r="B17" s="25"/>
      <c r="C17" s="1"/>
      <c r="D17" s="25"/>
      <c r="E17" s="22"/>
      <c r="F17" s="50"/>
      <c r="G17" s="22"/>
      <c r="H17" s="22"/>
      <c r="I17" s="1"/>
      <c r="J17" s="22"/>
      <c r="K17" s="1"/>
      <c r="L17" s="5"/>
      <c r="M17" s="5"/>
      <c r="N17" s="30"/>
    </row>
    <row r="18" spans="1:15">
      <c r="A18" s="1"/>
      <c r="B18" s="25"/>
      <c r="C18" s="1"/>
      <c r="D18" s="25"/>
      <c r="E18" s="22"/>
      <c r="F18" s="50"/>
      <c r="G18" s="22"/>
      <c r="H18" s="22"/>
      <c r="I18" s="1"/>
      <c r="J18" s="22"/>
      <c r="K18" s="1"/>
      <c r="L18" s="5"/>
      <c r="M18" s="5"/>
      <c r="N18" s="30"/>
    </row>
    <row r="19" spans="1:15">
      <c r="A19" s="1"/>
      <c r="B19" s="25"/>
      <c r="C19" s="1"/>
      <c r="D19" s="25"/>
      <c r="E19" s="22"/>
      <c r="F19" s="50"/>
      <c r="G19" s="22"/>
      <c r="H19" s="22"/>
      <c r="I19" s="1"/>
      <c r="J19" s="22"/>
      <c r="K19" s="1"/>
      <c r="L19" s="5"/>
      <c r="M19" s="5"/>
      <c r="N19" s="30"/>
    </row>
    <row r="20" spans="1:15">
      <c r="A20" s="1"/>
      <c r="B20" s="25"/>
      <c r="C20" s="1"/>
      <c r="D20" s="25"/>
      <c r="E20" s="22"/>
      <c r="F20" s="50"/>
      <c r="G20" s="22"/>
      <c r="H20" s="22"/>
      <c r="I20" s="1"/>
      <c r="J20" s="22"/>
      <c r="K20" s="1"/>
      <c r="L20" s="5"/>
      <c r="M20" s="5"/>
      <c r="N20" s="30"/>
    </row>
    <row r="21" spans="1:15">
      <c r="A21" s="1"/>
      <c r="B21" s="25"/>
      <c r="C21" s="1"/>
      <c r="D21" s="25"/>
      <c r="E21" s="22"/>
      <c r="F21" s="50"/>
      <c r="G21" s="22"/>
      <c r="H21" s="22"/>
      <c r="I21" s="1"/>
      <c r="J21" s="22"/>
      <c r="K21" s="1"/>
      <c r="L21" s="5"/>
      <c r="M21" s="5"/>
      <c r="N21" s="30"/>
      <c r="O21" s="2"/>
    </row>
    <row r="22" spans="1:15">
      <c r="A22" s="1"/>
      <c r="B22" s="25"/>
      <c r="C22" s="1"/>
      <c r="D22" s="25"/>
      <c r="E22" s="22"/>
      <c r="F22" s="50"/>
      <c r="G22" s="22"/>
      <c r="H22" s="22"/>
      <c r="I22" s="1"/>
      <c r="J22" s="22"/>
      <c r="K22" s="1"/>
      <c r="L22" s="5"/>
      <c r="M22" s="5"/>
      <c r="N22" s="30"/>
      <c r="O22" s="2"/>
    </row>
    <row r="23" spans="1:15">
      <c r="A23" s="1"/>
      <c r="B23" s="25"/>
      <c r="C23" s="1"/>
      <c r="D23" s="25"/>
      <c r="E23" s="22"/>
      <c r="F23" s="50"/>
      <c r="G23" s="22"/>
      <c r="H23" s="22"/>
      <c r="I23" s="1"/>
      <c r="J23" s="22"/>
      <c r="K23" s="1"/>
      <c r="L23" s="5"/>
      <c r="M23" s="5"/>
      <c r="N23" s="30"/>
      <c r="O23" s="2"/>
    </row>
    <row r="24" spans="1:15">
      <c r="A24" s="1"/>
      <c r="B24" s="25"/>
      <c r="C24" s="1"/>
      <c r="D24" s="25"/>
      <c r="E24" s="22"/>
      <c r="F24" s="50"/>
      <c r="G24" s="22"/>
      <c r="H24" s="22"/>
      <c r="I24" s="1"/>
      <c r="J24" s="22"/>
      <c r="K24" s="1"/>
      <c r="L24" s="5"/>
      <c r="M24" s="5"/>
      <c r="N24" s="30"/>
      <c r="O24" s="2"/>
    </row>
    <row r="25" spans="1:15">
      <c r="A25" s="1"/>
      <c r="B25" s="25"/>
      <c r="C25" s="1"/>
      <c r="D25" s="25"/>
      <c r="E25" s="22"/>
      <c r="F25" s="50"/>
      <c r="G25" s="22"/>
      <c r="H25" s="22"/>
      <c r="I25" s="1"/>
      <c r="J25" s="22"/>
      <c r="K25" s="1"/>
      <c r="L25" s="5"/>
      <c r="M25" s="5"/>
      <c r="N25" s="30"/>
    </row>
    <row r="26" spans="1:15">
      <c r="A26" s="1"/>
      <c r="B26" s="25"/>
      <c r="C26" s="1"/>
      <c r="D26" s="25"/>
      <c r="E26" s="22"/>
      <c r="F26" s="50"/>
      <c r="G26" s="22"/>
      <c r="H26" s="22"/>
      <c r="I26" s="1"/>
      <c r="J26" s="22"/>
      <c r="K26" s="1"/>
      <c r="L26" s="5"/>
      <c r="M26" s="5"/>
      <c r="N26" s="30"/>
    </row>
    <row r="27" spans="1:15">
      <c r="A27" s="1"/>
      <c r="B27" s="25"/>
      <c r="C27" s="1"/>
      <c r="D27" s="25"/>
      <c r="E27" s="22"/>
      <c r="F27" s="50"/>
      <c r="G27" s="22"/>
      <c r="H27" s="22"/>
      <c r="I27" s="1"/>
      <c r="J27" s="22"/>
      <c r="K27" s="1"/>
      <c r="L27" s="5"/>
      <c r="M27" s="5"/>
      <c r="N27" s="30"/>
    </row>
    <row r="28" spans="1:15">
      <c r="A28" s="1"/>
      <c r="B28" s="25"/>
      <c r="C28" s="1"/>
      <c r="D28" s="25"/>
      <c r="E28" s="22"/>
      <c r="F28" s="50"/>
      <c r="G28" s="22"/>
      <c r="H28" s="22"/>
      <c r="I28" s="1"/>
      <c r="J28" s="22"/>
      <c r="K28" s="1"/>
      <c r="L28" s="5"/>
      <c r="M28" s="5"/>
      <c r="N28" s="30"/>
    </row>
    <row r="29" spans="1:15">
      <c r="A29" s="1"/>
      <c r="B29" s="25"/>
      <c r="C29" s="1"/>
      <c r="D29" s="25"/>
      <c r="E29" s="22"/>
      <c r="F29" s="50"/>
      <c r="G29" s="22"/>
      <c r="H29" s="22"/>
      <c r="I29" s="1"/>
      <c r="J29" s="22"/>
      <c r="K29" s="1"/>
      <c r="L29" s="5"/>
      <c r="M29" s="5"/>
      <c r="N29" s="30"/>
    </row>
    <row r="30" spans="1:15">
      <c r="A30" s="1"/>
      <c r="B30" s="25"/>
      <c r="C30" s="1"/>
      <c r="D30" s="25"/>
      <c r="E30" s="22"/>
      <c r="F30" s="50"/>
      <c r="G30" s="22"/>
      <c r="H30" s="22"/>
      <c r="I30" s="1"/>
      <c r="J30" s="22"/>
      <c r="K30" s="1"/>
      <c r="L30" s="5"/>
      <c r="M30" s="5"/>
      <c r="N30" s="30"/>
    </row>
    <row r="31" spans="1:15">
      <c r="A31" s="1"/>
      <c r="B31" s="25"/>
      <c r="C31" s="1"/>
      <c r="D31" s="25"/>
      <c r="E31" s="22"/>
      <c r="F31" s="50"/>
      <c r="G31" s="22"/>
      <c r="H31" s="22"/>
      <c r="I31" s="1"/>
      <c r="J31" s="22"/>
      <c r="K31" s="1"/>
      <c r="L31" s="5"/>
      <c r="M31" s="5"/>
      <c r="N31" s="30"/>
    </row>
    <row r="32" spans="1:15">
      <c r="A32" s="1"/>
      <c r="B32" s="25"/>
      <c r="C32" s="1"/>
      <c r="D32" s="25"/>
      <c r="E32" s="22"/>
      <c r="F32" s="50"/>
      <c r="G32" s="22"/>
      <c r="H32" s="22"/>
      <c r="I32" s="1"/>
      <c r="J32" s="22"/>
      <c r="K32" s="1"/>
      <c r="L32" s="5"/>
      <c r="M32" s="5"/>
      <c r="N32" s="30"/>
    </row>
    <row r="33" spans="1:14">
      <c r="A33" s="1"/>
      <c r="B33" s="25"/>
      <c r="C33" s="1"/>
      <c r="D33" s="25"/>
      <c r="E33" s="22"/>
      <c r="F33" s="50"/>
      <c r="G33" s="22"/>
      <c r="H33" s="22"/>
      <c r="I33" s="1"/>
      <c r="J33" s="22"/>
      <c r="K33" s="1"/>
      <c r="L33" s="5"/>
      <c r="M33" s="5"/>
      <c r="N33" s="30"/>
    </row>
    <row r="34" spans="1:14">
      <c r="A34" s="1"/>
      <c r="B34" s="25"/>
      <c r="C34" s="1"/>
      <c r="D34" s="25"/>
      <c r="E34" s="22"/>
      <c r="F34" s="50"/>
      <c r="G34" s="22"/>
      <c r="H34" s="22"/>
      <c r="I34" s="1"/>
      <c r="J34" s="22"/>
      <c r="K34" s="1"/>
      <c r="L34" s="5"/>
      <c r="M34" s="5"/>
      <c r="N34" s="30"/>
    </row>
    <row r="35" spans="1:14">
      <c r="A35" s="1"/>
      <c r="B35" s="25"/>
      <c r="C35" s="1"/>
      <c r="D35" s="25"/>
      <c r="E35" s="22"/>
      <c r="F35" s="50"/>
      <c r="G35" s="22"/>
      <c r="H35" s="22"/>
      <c r="I35" s="1"/>
      <c r="J35" s="22"/>
      <c r="K35" s="1"/>
      <c r="L35" s="5"/>
      <c r="M35" s="5"/>
      <c r="N35" s="30"/>
    </row>
    <row r="36" spans="1:14">
      <c r="A36" s="1"/>
      <c r="B36" s="25"/>
      <c r="C36" s="1"/>
      <c r="D36" s="25"/>
      <c r="E36" s="22"/>
      <c r="F36" s="50"/>
      <c r="G36" s="22"/>
      <c r="H36" s="22"/>
      <c r="I36" s="1"/>
      <c r="J36" s="22"/>
      <c r="K36" s="1"/>
      <c r="L36" s="5"/>
      <c r="M36" s="5"/>
      <c r="N36" s="30"/>
    </row>
    <row r="37" spans="1:14">
      <c r="A37" s="1"/>
      <c r="B37" s="25"/>
      <c r="C37" s="1"/>
      <c r="D37" s="25"/>
      <c r="E37" s="22"/>
      <c r="F37" s="50"/>
      <c r="G37" s="22"/>
      <c r="H37" s="22"/>
      <c r="I37" s="1"/>
      <c r="J37" s="22"/>
      <c r="K37" s="1"/>
      <c r="L37" s="5"/>
      <c r="M37" s="5"/>
      <c r="N37" s="30"/>
    </row>
    <row r="38" spans="1:14">
      <c r="A38" s="1"/>
      <c r="B38" s="25"/>
      <c r="C38" s="1"/>
      <c r="D38" s="25"/>
      <c r="E38" s="22"/>
      <c r="F38" s="50"/>
      <c r="G38" s="22"/>
      <c r="H38" s="22"/>
      <c r="I38" s="1"/>
      <c r="J38" s="22"/>
      <c r="K38" s="1"/>
      <c r="L38" s="5"/>
      <c r="M38" s="5"/>
      <c r="N38" s="30"/>
    </row>
    <row r="39" spans="1:14">
      <c r="A39" s="1"/>
      <c r="B39" s="25"/>
      <c r="C39" s="1"/>
      <c r="D39" s="25"/>
      <c r="E39" s="22"/>
      <c r="F39" s="50"/>
      <c r="G39" s="22"/>
      <c r="H39" s="22"/>
      <c r="I39" s="1"/>
      <c r="J39" s="22"/>
      <c r="K39" s="1"/>
      <c r="L39" s="5"/>
      <c r="M39" s="5"/>
      <c r="N39" s="30"/>
    </row>
    <row r="40" spans="1:14">
      <c r="A40" s="1"/>
      <c r="B40" s="25"/>
      <c r="C40" s="1"/>
      <c r="D40" s="25"/>
      <c r="E40" s="22"/>
      <c r="F40" s="50"/>
      <c r="G40" s="22"/>
      <c r="H40" s="22"/>
      <c r="I40" s="1"/>
      <c r="J40" s="22"/>
      <c r="K40" s="1"/>
      <c r="L40" s="5"/>
      <c r="M40" s="5"/>
      <c r="N40" s="30"/>
    </row>
    <row r="41" spans="1:14">
      <c r="A41" s="1"/>
      <c r="B41" s="25"/>
      <c r="C41" s="1"/>
      <c r="D41" s="25"/>
      <c r="E41" s="22"/>
      <c r="F41" s="50"/>
      <c r="G41" s="22"/>
      <c r="H41" s="22"/>
      <c r="I41" s="1"/>
      <c r="J41" s="22"/>
      <c r="K41" s="1"/>
      <c r="L41" s="5"/>
      <c r="M41" s="5"/>
      <c r="N41" s="30"/>
    </row>
    <row r="42" spans="1:14">
      <c r="A42" s="1"/>
      <c r="B42" s="25"/>
      <c r="C42" s="1"/>
      <c r="D42" s="25"/>
      <c r="E42" s="22"/>
      <c r="F42" s="50"/>
      <c r="G42" s="22"/>
      <c r="H42" s="22"/>
      <c r="I42" s="1"/>
      <c r="J42" s="22"/>
      <c r="K42" s="1"/>
      <c r="L42" s="5"/>
      <c r="M42" s="5"/>
      <c r="N42" s="30"/>
    </row>
    <row r="43" spans="1:14">
      <c r="A43" s="1"/>
      <c r="B43" s="25"/>
      <c r="C43" s="1"/>
      <c r="D43" s="25"/>
      <c r="E43" s="22"/>
      <c r="F43" s="50"/>
      <c r="G43" s="22"/>
      <c r="H43" s="22"/>
      <c r="I43" s="1"/>
      <c r="J43" s="22"/>
      <c r="K43" s="1"/>
      <c r="L43" s="5"/>
      <c r="M43" s="5"/>
      <c r="N43" s="30"/>
    </row>
    <row r="44" spans="1:14">
      <c r="A44" s="1"/>
      <c r="B44" s="25"/>
      <c r="C44" s="1"/>
      <c r="D44" s="25"/>
      <c r="E44" s="22"/>
      <c r="F44" s="50"/>
      <c r="G44" s="22"/>
      <c r="H44" s="22"/>
      <c r="I44" s="1"/>
      <c r="J44" s="22"/>
      <c r="K44" s="1"/>
      <c r="L44" s="5"/>
      <c r="M44" s="5"/>
      <c r="N44" s="30"/>
    </row>
    <row r="45" spans="1:14">
      <c r="A45" s="1"/>
      <c r="B45" s="25"/>
      <c r="C45" s="1"/>
      <c r="D45" s="25"/>
      <c r="E45" s="22"/>
      <c r="F45" s="50"/>
      <c r="G45" s="22"/>
      <c r="H45" s="22"/>
      <c r="I45" s="1"/>
      <c r="J45" s="22"/>
      <c r="K45" s="1"/>
      <c r="L45" s="5"/>
      <c r="M45" s="5"/>
      <c r="N45" s="30"/>
    </row>
    <row r="46" spans="1:14">
      <c r="A46" s="1"/>
      <c r="B46" s="25"/>
      <c r="C46" s="1"/>
      <c r="D46" s="25"/>
      <c r="E46" s="22"/>
      <c r="F46" s="50"/>
      <c r="G46" s="22"/>
      <c r="H46" s="22"/>
      <c r="I46" s="1"/>
      <c r="J46" s="22"/>
      <c r="K46" s="1"/>
      <c r="L46" s="5"/>
      <c r="M46" s="5"/>
      <c r="N46" s="30"/>
    </row>
    <row r="47" spans="1:14">
      <c r="A47" s="1"/>
      <c r="B47" s="25"/>
      <c r="C47" s="1"/>
      <c r="D47" s="25"/>
      <c r="E47" s="22"/>
      <c r="F47" s="50"/>
      <c r="G47" s="22"/>
      <c r="H47" s="22"/>
      <c r="I47" s="1"/>
      <c r="J47" s="22"/>
      <c r="K47" s="1"/>
      <c r="L47" s="5"/>
      <c r="M47" s="5"/>
      <c r="N47" s="30"/>
    </row>
    <row r="48" spans="1:14">
      <c r="A48" s="1"/>
      <c r="B48" s="25"/>
      <c r="C48" s="1"/>
      <c r="D48" s="25"/>
      <c r="E48" s="22"/>
      <c r="F48" s="50"/>
      <c r="G48" s="22"/>
      <c r="H48" s="22"/>
      <c r="I48" s="1"/>
      <c r="J48" s="22"/>
      <c r="K48" s="1"/>
      <c r="L48" s="5"/>
      <c r="M48" s="5"/>
      <c r="N48" s="30"/>
    </row>
    <row r="49" spans="1:14">
      <c r="A49" s="1"/>
      <c r="B49" s="25"/>
      <c r="C49" s="1"/>
      <c r="D49" s="25"/>
      <c r="E49" s="22"/>
      <c r="F49" s="50"/>
      <c r="G49" s="22"/>
      <c r="H49" s="22"/>
      <c r="I49" s="1"/>
      <c r="J49" s="22"/>
      <c r="K49" s="1"/>
      <c r="L49" s="5"/>
      <c r="M49" s="5"/>
      <c r="N49" s="30"/>
    </row>
    <row r="50" spans="1:14">
      <c r="A50" s="1"/>
      <c r="B50" s="25"/>
      <c r="C50" s="1"/>
      <c r="D50" s="25"/>
      <c r="E50" s="22"/>
      <c r="F50" s="50"/>
      <c r="G50" s="22"/>
      <c r="H50" s="22"/>
      <c r="I50" s="1"/>
      <c r="J50" s="22"/>
      <c r="K50" s="1"/>
      <c r="L50" s="5"/>
      <c r="M50" s="5"/>
      <c r="N50" s="30"/>
    </row>
    <row r="51" spans="1:14">
      <c r="A51" s="1"/>
      <c r="B51" s="25"/>
      <c r="C51" s="1"/>
      <c r="D51" s="25"/>
      <c r="E51" s="22"/>
      <c r="F51" s="50"/>
      <c r="G51" s="22"/>
      <c r="H51" s="22"/>
      <c r="I51" s="1"/>
      <c r="J51" s="22"/>
      <c r="K51" s="1"/>
      <c r="L51" s="5"/>
      <c r="M51" s="5"/>
      <c r="N51" s="30"/>
    </row>
    <row r="52" spans="1:14">
      <c r="A52" s="1"/>
      <c r="B52" s="25"/>
      <c r="C52" s="1"/>
      <c r="D52" s="25"/>
      <c r="E52" s="22"/>
      <c r="F52" s="50"/>
      <c r="G52" s="22"/>
      <c r="H52" s="22"/>
      <c r="I52" s="1"/>
      <c r="J52" s="22"/>
      <c r="K52" s="1"/>
      <c r="L52" s="5"/>
      <c r="M52" s="5"/>
      <c r="N52" s="30"/>
    </row>
    <row r="53" spans="1:14">
      <c r="A53" s="1"/>
      <c r="B53" s="25"/>
      <c r="C53" s="1"/>
      <c r="D53" s="25"/>
      <c r="E53" s="22"/>
      <c r="F53" s="50"/>
      <c r="G53" s="22"/>
      <c r="H53" s="22"/>
      <c r="I53" s="1"/>
      <c r="J53" s="22"/>
      <c r="K53" s="1"/>
      <c r="L53" s="5"/>
      <c r="M53" s="5"/>
      <c r="N53" s="30"/>
    </row>
    <row r="54" spans="1:14">
      <c r="A54" s="1"/>
      <c r="B54" s="25"/>
      <c r="C54" s="1"/>
      <c r="D54" s="25"/>
      <c r="E54" s="22"/>
      <c r="F54" s="50"/>
      <c r="G54" s="22"/>
      <c r="H54" s="22"/>
      <c r="I54" s="1"/>
      <c r="J54" s="22"/>
      <c r="K54" s="1"/>
      <c r="L54" s="5"/>
      <c r="M54" s="5"/>
      <c r="N54" s="30"/>
    </row>
    <row r="55" spans="1:14">
      <c r="A55" s="1"/>
      <c r="B55" s="25"/>
      <c r="C55" s="1"/>
      <c r="D55" s="25"/>
      <c r="E55" s="22"/>
      <c r="F55" s="50"/>
      <c r="G55" s="22"/>
      <c r="H55" s="22"/>
      <c r="I55" s="1"/>
      <c r="J55" s="22"/>
      <c r="K55" s="1"/>
      <c r="L55" s="5"/>
      <c r="M55" s="5"/>
      <c r="N55" s="30"/>
    </row>
    <row r="56" spans="1:14">
      <c r="A56" s="1"/>
      <c r="B56" s="25"/>
      <c r="C56" s="1"/>
      <c r="D56" s="25"/>
      <c r="E56" s="22"/>
      <c r="F56" s="50"/>
      <c r="G56" s="22"/>
      <c r="H56" s="22"/>
      <c r="I56" s="1"/>
      <c r="J56" s="22"/>
      <c r="K56" s="1"/>
      <c r="L56" s="5"/>
      <c r="M56" s="5"/>
      <c r="N56" s="30"/>
    </row>
    <row r="57" spans="1:14">
      <c r="A57" s="1"/>
      <c r="B57" s="25"/>
      <c r="C57" s="1"/>
      <c r="D57" s="25"/>
      <c r="E57" s="22"/>
      <c r="F57" s="50"/>
      <c r="G57" s="22"/>
      <c r="H57" s="22"/>
      <c r="I57" s="1"/>
      <c r="J57" s="22"/>
      <c r="K57" s="1"/>
      <c r="L57" s="5"/>
      <c r="M57" s="5"/>
      <c r="N57" s="30"/>
    </row>
    <row r="58" spans="1:14">
      <c r="A58" s="1"/>
      <c r="B58" s="25"/>
      <c r="C58" s="1"/>
      <c r="D58" s="25"/>
      <c r="E58" s="22"/>
      <c r="F58" s="50"/>
      <c r="G58" s="22"/>
      <c r="H58" s="22"/>
      <c r="I58" s="1"/>
      <c r="J58" s="22"/>
      <c r="K58" s="1"/>
      <c r="L58" s="5"/>
      <c r="M58" s="5"/>
      <c r="N58" s="30"/>
    </row>
    <row r="59" spans="1:14">
      <c r="A59" s="1"/>
      <c r="B59" s="25"/>
      <c r="C59" s="1"/>
      <c r="D59" s="25"/>
      <c r="E59" s="22"/>
      <c r="F59" s="50"/>
      <c r="G59" s="22"/>
      <c r="H59" s="22"/>
      <c r="I59" s="1"/>
      <c r="J59" s="22"/>
      <c r="K59" s="1"/>
      <c r="L59" s="5"/>
      <c r="M59" s="5"/>
      <c r="N59" s="30"/>
    </row>
    <row r="60" spans="1:14">
      <c r="A60" s="1"/>
      <c r="B60" s="25"/>
      <c r="C60" s="1"/>
      <c r="D60" s="25"/>
      <c r="E60" s="22"/>
      <c r="F60" s="50"/>
      <c r="G60" s="22"/>
      <c r="H60" s="22"/>
      <c r="I60" s="1"/>
      <c r="J60" s="22"/>
      <c r="K60" s="1"/>
      <c r="L60" s="5"/>
      <c r="M60" s="5"/>
      <c r="N60" s="30"/>
    </row>
    <row r="61" spans="1:14">
      <c r="A61" s="1"/>
      <c r="B61" s="25"/>
      <c r="C61" s="1"/>
      <c r="D61" s="25"/>
      <c r="E61" s="22"/>
      <c r="F61" s="50"/>
      <c r="G61" s="22"/>
      <c r="H61" s="22"/>
      <c r="I61" s="1"/>
      <c r="J61" s="22"/>
      <c r="K61" s="1"/>
      <c r="L61" s="5"/>
      <c r="M61" s="5"/>
      <c r="N61" s="30"/>
    </row>
    <row r="62" spans="1:14">
      <c r="A62" s="1"/>
      <c r="B62" s="25"/>
      <c r="C62" s="1"/>
      <c r="D62" s="25"/>
      <c r="E62" s="22"/>
      <c r="F62" s="50"/>
      <c r="G62" s="22"/>
      <c r="H62" s="22"/>
      <c r="I62" s="1"/>
      <c r="J62" s="22"/>
      <c r="K62" s="1"/>
      <c r="L62" s="5"/>
      <c r="M62" s="5"/>
      <c r="N62" s="30"/>
    </row>
    <row r="63" spans="1:14">
      <c r="A63" s="1"/>
      <c r="B63" s="25"/>
      <c r="C63" s="1"/>
      <c r="D63" s="25"/>
      <c r="E63" s="22"/>
      <c r="F63" s="50"/>
      <c r="G63" s="22"/>
      <c r="H63" s="22"/>
      <c r="I63" s="1"/>
      <c r="J63" s="22"/>
      <c r="K63" s="1"/>
      <c r="L63" s="5"/>
      <c r="M63" s="5"/>
      <c r="N63" s="30"/>
    </row>
    <row r="64" spans="1:14">
      <c r="A64" s="1"/>
      <c r="B64" s="25"/>
      <c r="C64" s="1"/>
      <c r="D64" s="25"/>
      <c r="E64" s="22"/>
      <c r="F64" s="50"/>
      <c r="G64" s="22"/>
      <c r="H64" s="22"/>
      <c r="I64" s="1"/>
      <c r="J64" s="22"/>
      <c r="K64" s="1"/>
      <c r="L64" s="5"/>
      <c r="M64" s="5"/>
      <c r="N64" s="30"/>
    </row>
    <row r="65" spans="1:14">
      <c r="A65" s="1"/>
      <c r="B65" s="25"/>
      <c r="C65" s="1"/>
      <c r="D65" s="25"/>
      <c r="E65" s="22"/>
      <c r="F65" s="50"/>
      <c r="G65" s="22"/>
      <c r="H65" s="22"/>
      <c r="I65" s="1"/>
      <c r="J65" s="22"/>
      <c r="K65" s="1"/>
      <c r="L65" s="5"/>
      <c r="M65" s="5"/>
      <c r="N65" s="30"/>
    </row>
    <row r="66" spans="1:14">
      <c r="A66" s="1"/>
      <c r="B66" s="25"/>
      <c r="C66" s="1"/>
      <c r="D66" s="25"/>
      <c r="E66" s="22"/>
      <c r="F66" s="50"/>
      <c r="G66" s="22"/>
      <c r="H66" s="22"/>
      <c r="I66" s="1"/>
      <c r="J66" s="22"/>
      <c r="K66" s="1"/>
      <c r="L66" s="5"/>
      <c r="M66" s="5"/>
      <c r="N66" s="30"/>
    </row>
    <row r="67" spans="1:14">
      <c r="A67" s="1"/>
      <c r="B67" s="25"/>
      <c r="C67" s="1"/>
      <c r="D67" s="25"/>
      <c r="E67" s="22"/>
      <c r="F67" s="50"/>
      <c r="G67" s="22"/>
      <c r="H67" s="22"/>
      <c r="I67" s="1"/>
      <c r="J67" s="22"/>
      <c r="K67" s="1"/>
      <c r="L67" s="5"/>
      <c r="M67" s="5"/>
      <c r="N67" s="30"/>
    </row>
    <row r="68" spans="1:14">
      <c r="A68" s="1"/>
      <c r="B68" s="25"/>
      <c r="C68" s="1"/>
      <c r="D68" s="25"/>
      <c r="E68" s="22"/>
      <c r="F68" s="50"/>
      <c r="G68" s="22"/>
      <c r="H68" s="22"/>
      <c r="I68" s="1"/>
      <c r="J68" s="22"/>
      <c r="K68" s="1"/>
      <c r="L68" s="5"/>
      <c r="M68" s="5"/>
      <c r="N68" s="30"/>
    </row>
    <row r="69" spans="1:14">
      <c r="A69" s="1"/>
      <c r="B69" s="25"/>
      <c r="C69" s="1"/>
      <c r="D69" s="25"/>
      <c r="E69" s="22"/>
      <c r="F69" s="50"/>
      <c r="G69" s="22"/>
      <c r="H69" s="22"/>
      <c r="I69" s="1"/>
      <c r="J69" s="22"/>
      <c r="K69" s="1"/>
      <c r="L69" s="5"/>
      <c r="M69" s="5"/>
      <c r="N69" s="30"/>
    </row>
    <row r="70" spans="1:14">
      <c r="A70" s="1"/>
      <c r="B70" s="25"/>
      <c r="C70" s="1"/>
      <c r="D70" s="25"/>
      <c r="E70" s="22"/>
      <c r="F70" s="50"/>
      <c r="G70" s="22"/>
      <c r="H70" s="22"/>
      <c r="I70" s="1"/>
      <c r="J70" s="22"/>
      <c r="K70" s="1"/>
      <c r="L70" s="5"/>
      <c r="M70" s="5"/>
      <c r="N70" s="30"/>
    </row>
    <row r="71" spans="1:14">
      <c r="A71" s="1"/>
      <c r="B71" s="25"/>
      <c r="C71" s="1"/>
      <c r="D71" s="25"/>
      <c r="E71" s="22"/>
      <c r="F71" s="50"/>
      <c r="G71" s="22"/>
      <c r="H71" s="22"/>
      <c r="I71" s="1"/>
      <c r="J71" s="22"/>
      <c r="K71" s="1"/>
      <c r="L71" s="5"/>
      <c r="M71" s="5"/>
      <c r="N71" s="30"/>
    </row>
    <row r="72" spans="1:14">
      <c r="A72" s="1"/>
      <c r="B72" s="25"/>
      <c r="C72" s="1"/>
      <c r="D72" s="25"/>
      <c r="E72" s="22"/>
      <c r="F72" s="50"/>
      <c r="G72" s="22"/>
      <c r="H72" s="22"/>
      <c r="I72" s="1"/>
      <c r="J72" s="22"/>
      <c r="K72" s="1"/>
      <c r="L72" s="5"/>
      <c r="M72" s="5"/>
      <c r="N72" s="30"/>
    </row>
    <row r="73" spans="1:14">
      <c r="A73" s="1"/>
      <c r="B73" s="25"/>
      <c r="C73" s="1"/>
      <c r="D73" s="25"/>
      <c r="E73" s="22"/>
      <c r="F73" s="50"/>
      <c r="G73" s="22"/>
      <c r="H73" s="22"/>
      <c r="I73" s="1"/>
      <c r="J73" s="22"/>
      <c r="K73" s="1"/>
      <c r="L73" s="5"/>
      <c r="M73" s="5"/>
      <c r="N73" s="30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A104"/>
  <sheetViews>
    <sheetView topLeftCell="A73" workbookViewId="0">
      <selection activeCell="A41" sqref="A41:A104"/>
    </sheetView>
  </sheetViews>
  <sheetFormatPr defaultRowHeight="16.5"/>
  <cols>
    <col min="1" max="1" width="9" style="24"/>
  </cols>
  <sheetData>
    <row r="1" spans="1:1">
      <c r="A1" s="60">
        <v>20180102</v>
      </c>
    </row>
    <row r="2" spans="1:1">
      <c r="A2" s="60">
        <v>20180103</v>
      </c>
    </row>
    <row r="3" spans="1:1">
      <c r="A3" s="60">
        <v>20180104</v>
      </c>
    </row>
    <row r="4" spans="1:1">
      <c r="A4" s="60">
        <v>20180105</v>
      </c>
    </row>
    <row r="5" spans="1:1">
      <c r="A5" s="60">
        <v>20180108</v>
      </c>
    </row>
    <row r="6" spans="1:1">
      <c r="A6" s="60">
        <v>20180109</v>
      </c>
    </row>
    <row r="7" spans="1:1">
      <c r="A7" s="60">
        <v>20180110</v>
      </c>
    </row>
    <row r="8" spans="1:1">
      <c r="A8" s="60">
        <v>20180111</v>
      </c>
    </row>
    <row r="9" spans="1:1">
      <c r="A9" s="60">
        <v>20180112</v>
      </c>
    </row>
    <row r="10" spans="1:1">
      <c r="A10" s="60">
        <v>20180116</v>
      </c>
    </row>
    <row r="11" spans="1:1">
      <c r="A11" s="60">
        <v>20180117</v>
      </c>
    </row>
    <row r="12" spans="1:1">
      <c r="A12" s="60">
        <v>20180118</v>
      </c>
    </row>
    <row r="13" spans="1:1">
      <c r="A13" s="60">
        <v>20180119</v>
      </c>
    </row>
    <row r="14" spans="1:1">
      <c r="A14" s="60">
        <v>20180122</v>
      </c>
    </row>
    <row r="15" spans="1:1">
      <c r="A15" s="60">
        <v>20180123</v>
      </c>
    </row>
    <row r="16" spans="1:1">
      <c r="A16" s="60">
        <v>20180124</v>
      </c>
    </row>
    <row r="17" spans="1:1">
      <c r="A17" s="60">
        <v>20180125</v>
      </c>
    </row>
    <row r="18" spans="1:1">
      <c r="A18" s="60">
        <v>20180126</v>
      </c>
    </row>
    <row r="19" spans="1:1">
      <c r="A19" s="60">
        <v>20180129</v>
      </c>
    </row>
    <row r="20" spans="1:1">
      <c r="A20" s="60">
        <v>20180130</v>
      </c>
    </row>
    <row r="21" spans="1:1">
      <c r="A21" s="60">
        <v>20180131</v>
      </c>
    </row>
    <row r="22" spans="1:1">
      <c r="A22" s="60">
        <v>20180201</v>
      </c>
    </row>
    <row r="23" spans="1:1">
      <c r="A23" s="60">
        <v>20180202</v>
      </c>
    </row>
    <row r="24" spans="1:1">
      <c r="A24" s="60">
        <v>20180205</v>
      </c>
    </row>
    <row r="25" spans="1:1">
      <c r="A25" s="60">
        <v>20180206</v>
      </c>
    </row>
    <row r="26" spans="1:1">
      <c r="A26" s="60">
        <v>20180207</v>
      </c>
    </row>
    <row r="27" spans="1:1">
      <c r="A27" s="60">
        <v>20180208</v>
      </c>
    </row>
    <row r="28" spans="1:1">
      <c r="A28" s="60">
        <v>20180209</v>
      </c>
    </row>
    <row r="29" spans="1:1">
      <c r="A29" s="60">
        <v>20180212</v>
      </c>
    </row>
    <row r="30" spans="1:1">
      <c r="A30" s="60">
        <v>20180213</v>
      </c>
    </row>
    <row r="31" spans="1:1">
      <c r="A31" s="60">
        <v>20180214</v>
      </c>
    </row>
    <row r="32" spans="1:1">
      <c r="A32" s="60">
        <v>20180215</v>
      </c>
    </row>
    <row r="33" spans="1:1">
      <c r="A33" s="60">
        <v>20180216</v>
      </c>
    </row>
    <row r="34" spans="1:1">
      <c r="A34" s="60">
        <v>20180220</v>
      </c>
    </row>
    <row r="35" spans="1:1">
      <c r="A35" s="60">
        <v>20180221</v>
      </c>
    </row>
    <row r="36" spans="1:1">
      <c r="A36" s="60">
        <v>20180222</v>
      </c>
    </row>
    <row r="37" spans="1:1">
      <c r="A37" s="60">
        <v>20180223</v>
      </c>
    </row>
    <row r="38" spans="1:1">
      <c r="A38" s="60">
        <v>20180226</v>
      </c>
    </row>
    <row r="39" spans="1:1">
      <c r="A39" s="60">
        <v>20180227</v>
      </c>
    </row>
    <row r="40" spans="1:1">
      <c r="A40" s="60">
        <v>20180228</v>
      </c>
    </row>
    <row r="41" spans="1:1">
      <c r="A41" s="60">
        <v>20180301</v>
      </c>
    </row>
    <row r="42" spans="1:1">
      <c r="A42" s="60">
        <v>20180302</v>
      </c>
    </row>
    <row r="43" spans="1:1">
      <c r="A43" s="60">
        <v>20180305</v>
      </c>
    </row>
    <row r="44" spans="1:1">
      <c r="A44" s="60">
        <v>20180306</v>
      </c>
    </row>
    <row r="45" spans="1:1">
      <c r="A45" s="60">
        <v>20180307</v>
      </c>
    </row>
    <row r="46" spans="1:1">
      <c r="A46" s="60">
        <v>20180308</v>
      </c>
    </row>
    <row r="47" spans="1:1">
      <c r="A47" s="60">
        <v>20180309</v>
      </c>
    </row>
    <row r="48" spans="1:1">
      <c r="A48" s="60">
        <v>20180312</v>
      </c>
    </row>
    <row r="49" spans="1:1">
      <c r="A49" s="60">
        <v>20180313</v>
      </c>
    </row>
    <row r="50" spans="1:1">
      <c r="A50" s="60">
        <v>20180314</v>
      </c>
    </row>
    <row r="51" spans="1:1">
      <c r="A51" s="60">
        <v>20180315</v>
      </c>
    </row>
    <row r="52" spans="1:1">
      <c r="A52" s="60">
        <v>20180316</v>
      </c>
    </row>
    <row r="53" spans="1:1">
      <c r="A53" s="60">
        <v>20180319</v>
      </c>
    </row>
    <row r="54" spans="1:1">
      <c r="A54" s="60">
        <v>20180320</v>
      </c>
    </row>
    <row r="55" spans="1:1">
      <c r="A55" s="60">
        <v>20180321</v>
      </c>
    </row>
    <row r="56" spans="1:1">
      <c r="A56" s="60">
        <v>20180322</v>
      </c>
    </row>
    <row r="57" spans="1:1">
      <c r="A57" s="60">
        <v>20180323</v>
      </c>
    </row>
    <row r="58" spans="1:1">
      <c r="A58" s="60">
        <v>20180326</v>
      </c>
    </row>
    <row r="59" spans="1:1">
      <c r="A59" s="60">
        <v>20180327</v>
      </c>
    </row>
    <row r="60" spans="1:1">
      <c r="A60" s="60">
        <v>20180328</v>
      </c>
    </row>
    <row r="61" spans="1:1">
      <c r="A61" s="60">
        <v>20180329</v>
      </c>
    </row>
    <row r="62" spans="1:1">
      <c r="A62" s="60">
        <v>20180402</v>
      </c>
    </row>
    <row r="63" spans="1:1">
      <c r="A63" s="60">
        <v>20180403</v>
      </c>
    </row>
    <row r="64" spans="1:1">
      <c r="A64" s="60">
        <v>20180404</v>
      </c>
    </row>
    <row r="65" spans="1:1">
      <c r="A65" s="60">
        <v>20180405</v>
      </c>
    </row>
    <row r="66" spans="1:1">
      <c r="A66" s="60">
        <v>20180406</v>
      </c>
    </row>
    <row r="67" spans="1:1">
      <c r="A67" s="60">
        <v>20180409</v>
      </c>
    </row>
    <row r="68" spans="1:1">
      <c r="A68" s="60">
        <v>20180410</v>
      </c>
    </row>
    <row r="69" spans="1:1">
      <c r="A69" s="60">
        <v>20180411</v>
      </c>
    </row>
    <row r="70" spans="1:1">
      <c r="A70" s="60">
        <v>20180412</v>
      </c>
    </row>
    <row r="71" spans="1:1">
      <c r="A71" s="60">
        <v>20180413</v>
      </c>
    </row>
    <row r="72" spans="1:1">
      <c r="A72" s="60">
        <v>20180416</v>
      </c>
    </row>
    <row r="73" spans="1:1">
      <c r="A73" s="60">
        <v>20180417</v>
      </c>
    </row>
    <row r="74" spans="1:1">
      <c r="A74" s="60">
        <v>20180418</v>
      </c>
    </row>
    <row r="75" spans="1:1">
      <c r="A75" s="60">
        <v>20180419</v>
      </c>
    </row>
    <row r="76" spans="1:1">
      <c r="A76" s="60">
        <v>20180420</v>
      </c>
    </row>
    <row r="77" spans="1:1">
      <c r="A77" s="60">
        <v>20180423</v>
      </c>
    </row>
    <row r="78" spans="1:1">
      <c r="A78" s="60">
        <v>20180424</v>
      </c>
    </row>
    <row r="79" spans="1:1">
      <c r="A79" s="60">
        <v>20180425</v>
      </c>
    </row>
    <row r="80" spans="1:1">
      <c r="A80" s="60">
        <v>20180426</v>
      </c>
    </row>
    <row r="81" spans="1:1">
      <c r="A81" s="60">
        <v>20180427</v>
      </c>
    </row>
    <row r="82" spans="1:1">
      <c r="A82" s="60">
        <v>20180430</v>
      </c>
    </row>
    <row r="83" spans="1:1">
      <c r="A83" s="60">
        <v>20180501</v>
      </c>
    </row>
    <row r="84" spans="1:1">
      <c r="A84" s="60">
        <v>20180502</v>
      </c>
    </row>
    <row r="85" spans="1:1">
      <c r="A85" s="60">
        <v>20180503</v>
      </c>
    </row>
    <row r="86" spans="1:1">
      <c r="A86" s="60">
        <v>20180504</v>
      </c>
    </row>
    <row r="87" spans="1:1">
      <c r="A87" s="60">
        <v>20180507</v>
      </c>
    </row>
    <row r="88" spans="1:1">
      <c r="A88" s="60">
        <v>20180508</v>
      </c>
    </row>
    <row r="89" spans="1:1">
      <c r="A89" s="60">
        <v>20180509</v>
      </c>
    </row>
    <row r="90" spans="1:1">
      <c r="A90" s="60">
        <v>20180510</v>
      </c>
    </row>
    <row r="91" spans="1:1">
      <c r="A91" s="60">
        <v>20180511</v>
      </c>
    </row>
    <row r="92" spans="1:1">
      <c r="A92" s="60">
        <v>20180514</v>
      </c>
    </row>
    <row r="93" spans="1:1">
      <c r="A93" s="60">
        <v>20180515</v>
      </c>
    </row>
    <row r="94" spans="1:1">
      <c r="A94" s="60">
        <v>20180516</v>
      </c>
    </row>
    <row r="95" spans="1:1">
      <c r="A95" s="60">
        <v>20180517</v>
      </c>
    </row>
    <row r="96" spans="1:1">
      <c r="A96" s="60">
        <v>20180518</v>
      </c>
    </row>
    <row r="97" spans="1:1">
      <c r="A97" s="60">
        <v>20180521</v>
      </c>
    </row>
    <row r="98" spans="1:1">
      <c r="A98" s="60">
        <v>20180522</v>
      </c>
    </row>
    <row r="99" spans="1:1">
      <c r="A99" s="60">
        <v>20180523</v>
      </c>
    </row>
    <row r="100" spans="1:1">
      <c r="A100" s="60">
        <v>20180524</v>
      </c>
    </row>
    <row r="101" spans="1:1">
      <c r="A101" s="60">
        <v>20180525</v>
      </c>
    </row>
    <row r="102" spans="1:1">
      <c r="A102" s="60">
        <v>20180529</v>
      </c>
    </row>
    <row r="103" spans="1:1">
      <c r="A103" s="60">
        <v>20180530</v>
      </c>
    </row>
    <row r="104" spans="1:1">
      <c r="A104" s="60">
        <v>20180531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商品評價</vt:lpstr>
      <vt:lpstr>商品價格</vt:lpstr>
      <vt:lpstr>波動率參數</vt:lpstr>
      <vt:lpstr>相關係數參數</vt:lpstr>
      <vt:lpstr>2018trading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Richard</cp:lastModifiedBy>
  <dcterms:created xsi:type="dcterms:W3CDTF">2017-03-21T00:22:57Z</dcterms:created>
  <dcterms:modified xsi:type="dcterms:W3CDTF">2017-08-20T00:10:55Z</dcterms:modified>
</cp:coreProperties>
</file>